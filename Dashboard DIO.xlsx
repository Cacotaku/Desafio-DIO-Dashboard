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Paulo\Downloads\"/>
    </mc:Choice>
  </mc:AlternateContent>
  <xr:revisionPtr revIDLastSave="0" documentId="13_ncr:1_{3B778433-EE3C-45D3-95C1-E54CCF18D836}" xr6:coauthVersionLast="47" xr6:coauthVersionMax="47" xr10:uidLastSave="{00000000-0000-0000-0000-000000000000}"/>
  <bookViews>
    <workbookView xWindow="-120" yWindow="-120" windowWidth="29040" windowHeight="158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4" i="4" l="1"/>
  <c r="E27" i="3"/>
  <c r="E47" i="3"/>
  <c r="E37" i="3"/>
</calcChain>
</file>

<file path=xl/sharedStrings.xml><?xml version="1.0" encoding="utf-8"?>
<sst xmlns="http://schemas.openxmlformats.org/spreadsheetml/2006/main" count="2053" uniqueCount="340">
  <si>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</si>
  <si>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</si>
  <si>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</si>
  <si>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</si>
  <si>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</si>
  <si>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</si>
  <si>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</si>
  <si>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</si>
  <si>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</si>
  <si>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</si>
  <si>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</si>
  <si>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</si>
  <si>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</si>
  <si>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</si>
  <si>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</si>
  <si>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</si>
  <si>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</si>
  <si>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</si>
  <si>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</si>
  <si>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</si>
  <si>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</si>
  <si>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</si>
  <si>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</si>
  <si>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</si>
  <si>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</si>
  <si>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</si>
  <si>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</si>
  <si>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</si>
  <si>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</si>
  <si>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</si>
  <si>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</si>
  <si>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</si>
  <si>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</si>
  <si>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</si>
  <si>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</si>
  <si>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</si>
  <si>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</si>
  <si>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</si>
  <si>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</si>
  <si>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</si>
  <si>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</si>
  <si>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</si>
  <si>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</si>
  <si>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</si>
  <si>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</si>
  <si>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</si>
  <si>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</si>
  <si>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</si>
  <si>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</si>
  <si>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</si>
  <si>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</si>
  <si>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</si>
  <si>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</si>
  <si>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</si>
  <si>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</si>
  <si>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</si>
  <si>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</si>
  <si>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</si>
  <si>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</si>
  <si>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</si>
  <si>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</si>
  <si>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</si>
  <si>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</si>
  <si>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</si>
  <si>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</si>
  <si>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</si>
  <si>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</si>
  <si>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</si>
  <si>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</si>
  <si>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</si>
  <si>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</si>
  <si>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</si>
  <si>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</si>
  <si>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</si>
  <si>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</si>
  <si>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</si>
  <si>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</si>
  <si>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</si>
  <si>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</si>
  <si>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</si>
  <si>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</si>
  <si>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</si>
  <si>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</si>
  <si>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</si>
  <si>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</si>
  <si>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</si>
  <si>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</si>
  <si>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</si>
  <si>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</si>
  <si>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</si>
  <si>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</si>
  <si>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</si>
  <si>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</si>
  <si>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</si>
  <si>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</si>
  <si>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</si>
  <si>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</si>
  <si>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</si>
  <si>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</si>
  <si>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</si>
  <si>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</si>
  <si>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</si>
  <si>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</si>
  <si>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</si>
  <si>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</si>
  <si>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</si>
  <si>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</si>
  <si>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</si>
  <si>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</si>
  <si>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</si>
  <si>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</si>
  <si>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</si>
  <si>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</si>
  <si>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</si>
  <si>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</si>
  <si>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</si>
  <si>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</si>
  <si>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</si>
  <si>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</si>
  <si>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</si>
  <si>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</si>
  <si>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</si>
  <si>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</si>
  <si>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</si>
  <si>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</si>
  <si>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</si>
  <si>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</si>
  <si>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</si>
  <si>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</si>
  <si>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</si>
  <si>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</si>
  <si>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</si>
  <si>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</si>
  <si>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</si>
  <si>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</si>
  <si>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</si>
  <si>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</si>
  <si>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</si>
  <si>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</si>
  <si>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</si>
  <si>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</si>
  <si>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</si>
  <si>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</si>
  <si>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</si>
  <si>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</si>
  <si>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</si>
  <si>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</si>
  <si>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</si>
  <si>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</si>
  <si>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</si>
  <si>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</si>
  <si>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</si>
  <si>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</si>
  <si>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</si>
  <si>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</si>
  <si>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</si>
  <si>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</si>
  <si>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</si>
  <si>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</si>
  <si>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</si>
  <si>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</si>
  <si>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</si>
  <si>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</si>
  <si>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</si>
  <si>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</si>
  <si>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</si>
  <si>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</si>
  <si>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</si>
  <si>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</si>
  <si>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</si>
  <si>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</si>
  <si>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</si>
  <si>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</si>
  <si>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</si>
  <si>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</si>
  <si>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</si>
  <si>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</si>
  <si>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</si>
  <si>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</si>
  <si>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</si>
  <si>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</si>
  <si>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</si>
  <si>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</si>
  <si>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</si>
  <si>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</si>
  <si>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</si>
  <si>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</si>
  <si>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</si>
  <si>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</si>
  <si>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</si>
  <si>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</si>
  <si>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</si>
  <si>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</si>
  <si>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</si>
  <si>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</si>
  <si>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</si>
  <si>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</si>
  <si>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</si>
  <si>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</si>
  <si>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</si>
  <si>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</si>
  <si>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</si>
  <si>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</si>
  <si>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</si>
  <si>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</si>
  <si>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</si>
  <si>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</si>
  <si>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</si>
  <si>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</si>
  <si>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</si>
  <si>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</si>
  <si>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</si>
  <si>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</si>
  <si>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</si>
  <si>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</si>
  <si>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</si>
  <si>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</si>
  <si>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</si>
  <si>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</si>
  <si>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</si>
  <si>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</si>
  <si>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</si>
  <si>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</si>
  <si>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</si>
  <si>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</si>
  <si>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</si>
  <si>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</si>
  <si>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</si>
  <si>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</si>
  <si>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</si>
  <si>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</si>
  <si>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</si>
  <si>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</si>
  <si>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</si>
  <si>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</si>
  <si>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</si>
  <si>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</si>
  <si>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</si>
  <si>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</si>
  <si>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</si>
  <si>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</si>
  <si>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</si>
  <si>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</si>
  <si>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</si>
  <si>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</si>
  <si>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</si>
  <si>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</si>
  <si>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</si>
  <si>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</si>
  <si>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</si>
  <si>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</si>
  <si>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</si>
  <si>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</si>
  <si>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</si>
  <si>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</si>
  <si>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</si>
  <si>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</si>
  <si>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</si>
  <si>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</si>
  <si>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</si>
  <si>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</si>
  <si>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</si>
  <si>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</si>
  <si>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</si>
  <si>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</si>
  <si>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</si>
  <si>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</si>
  <si>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</si>
  <si>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</si>
  <si>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</si>
  <si>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</si>
  <si>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</si>
  <si>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</si>
  <si>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</si>
  <si>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</si>
  <si>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</si>
  <si>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</si>
  <si>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</si>
  <si>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</si>
  <si>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</si>
  <si>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</si>
  <si>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</si>
  <si>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</si>
  <si>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</si>
  <si>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</si>
  <si>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</si>
  <si>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</si>
  <si>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</si>
  <si>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</si>
  <si>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</si>
  <si>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</si>
  <si>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</si>
  <si>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</si>
  <si>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</si>
  <si>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</si>
  <si>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</si>
  <si>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</si>
  <si>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</si>
  <si>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</si>
  <si>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</si>
  <si>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</si>
  <si>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</si>
  <si>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</si>
  <si>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</si>
  <si>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</si>
  <si>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</si>
  <si>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</si>
  <si>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</si>
  <si>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</si>
  <si>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</si>
  <si>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</si>
  <si>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</si>
  <si>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</si>
  <si>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</si>
  <si>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Rótulos de Linha</t>
  </si>
  <si>
    <t>Soma de Total Value</t>
  </si>
  <si>
    <t>Pergunta de Negócio 1 - Qual o faturamento Total de Vendas de planos anuais (Contendo todas as assinaturas agregadas)</t>
  </si>
  <si>
    <t>Pergunta de Negócio 3 - Total de vendas de Assinaturas do EA Play</t>
  </si>
  <si>
    <t>Pergunta de Negócio 2 - Qual o faturamento Total de Vendas de planos anuais, separado por auto renovação não e por auto renovação</t>
  </si>
  <si>
    <t>Soma de EA Play Season Pass</t>
  </si>
  <si>
    <t>Soma de Minecraft Season Pass Price</t>
  </si>
  <si>
    <t xml:space="preserve">     XBOX GAME PASS SUBSCRIPTIONS SALES </t>
  </si>
  <si>
    <t>Pergunta de Negócio 3 - Total de vendas de Assinaturas do Minecraft</t>
  </si>
  <si>
    <t>Contagem de Subscriber ID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</si>
  <si>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</si>
  <si>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</si>
  <si>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</si>
  <si>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</si>
  <si>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</si>
  <si>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</si>
  <si>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</si>
  <si>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</si>
  <si>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</si>
  <si>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</si>
  <si>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</si>
  <si>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</si>
  <si>
    <t>Pergunta de Negócio 3 - Total de Assinaturas do Período Solicitado</t>
  </si>
  <si>
    <t>Pergunta de Negócio 4 - Total de Assinaturas do Período Solicitado por mês</t>
  </si>
  <si>
    <t>Contagem de Plan</t>
  </si>
  <si>
    <t>Rótulos de Coluna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</si>
</sst>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[$-F400]h:mm:ss\ AM/PM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Segoe UI"/>
      <family val="2"/>
    </font>
    <font>
      <b/>
      <sz val="14"/>
      <color theme="0"/>
      <name val="Segoe UI Semilight"/>
      <family val="2"/>
    </font>
    <font>
      <b/>
      <sz val="12"/>
      <name val="Segoe UI Semilight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/>
      <diagonal/>
    </border>
    <border>
      <left/>
      <right style="thin">
        <color rgb="FF22C55E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/>
    <xf numFmtId="0" fontId="1" fillId="0" borderId="2" xfId="1" applyBorder="1"/>
    <xf numFmtId="0" fontId="4" fillId="0" borderId="2" xfId="1" applyFont="1" applyBorder="1" applyAlignment="1">
      <alignment vertical="center"/>
    </xf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22" fontId="0" fillId="4" borderId="6" xfId="0" applyNumberFormat="1" applyFill="1" applyBorder="1"/>
    <xf numFmtId="22" fontId="0" fillId="0" borderId="0" xfId="0" applyNumberFormat="1"/>
    <xf numFmtId="22" fontId="0" fillId="0" borderId="0" xfId="0" applyNumberFormat="1" applyAlignment="1">
      <alignment horizontal="center" vertical="center" wrapText="1"/>
    </xf>
    <xf numFmtId="165" fontId="5" fillId="4" borderId="6" xfId="0" applyNumberFormat="1" applyFont="1" applyFill="1" applyBorder="1" applyAlignment="1">
      <alignment horizontal="center"/>
    </xf>
    <xf numFmtId="165" fontId="5" fillId="4" borderId="0" xfId="0" applyNumberFormat="1" applyFont="1" applyFill="1" applyAlignment="1">
      <alignment horizontal="center"/>
    </xf>
    <xf numFmtId="165" fontId="5" fillId="4" borderId="7" xfId="0" applyNumberFormat="1" applyFont="1" applyFill="1" applyBorder="1" applyAlignment="1">
      <alignment horizontal="center"/>
    </xf>
    <xf numFmtId="14" fontId="6" fillId="4" borderId="6" xfId="0" applyNumberFormat="1" applyFont="1" applyFill="1" applyBorder="1" applyAlignment="1">
      <alignment horizontal="center"/>
    </xf>
    <xf numFmtId="14" fontId="6" fillId="4" borderId="0" xfId="0" applyNumberFormat="1" applyFont="1" applyFill="1" applyAlignment="1">
      <alignment horizontal="center"/>
    </xf>
    <xf numFmtId="14" fontId="6" fillId="4" borderId="7" xfId="0" applyNumberFormat="1" applyFont="1" applyFill="1" applyBorder="1" applyAlignment="1">
      <alignment horizontal="center"/>
    </xf>
    <xf numFmtId="0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8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z val="12"/>
        <color theme="0"/>
        <name val="Segoe UI"/>
        <family val="2"/>
        <scheme val="none"/>
      </font>
      <border diagonalUp="0" diagonalDown="0">
        <left/>
        <right/>
        <top/>
        <bottom/>
        <vertical/>
        <horizontal/>
      </border>
    </dxf>
    <dxf>
      <font>
        <b/>
        <i val="0"/>
        <color theme="1"/>
      </font>
      <fill>
        <patternFill>
          <fgColor rgb="FF22C55E"/>
          <bgColor rgb="FF22C55E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22C55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2" defaultTableStyle="TableStyleMedium2" defaultPivotStyle="PivotStyleLight16">
    <tableStyle name="SlicerStyleLight6 2" pivot="0" table="0" count="10" xr9:uid="{9FFA229B-ED2C-4311-8D56-F84AC77CFA3B}">
      <tableStyleElement type="wholeTable" dxfId="17"/>
      <tableStyleElement type="headerRow" dxfId="16"/>
    </tableStyle>
    <tableStyle name="SlicerStyleLight6 3" pivot="0" table="0" count="10" xr9:uid="{0E9DE329-9DDB-48A2-867A-57DCD4A7A7CF}">
      <tableStyleElement type="wholeTable" dxfId="15"/>
      <tableStyleElement type="headerRow" dxfId="14"/>
    </tableStyle>
  </tableStyles>
  <colors>
    <mruColors>
      <color rgb="FF9BC848"/>
      <color rgb="FF6BF6A8"/>
      <color rgb="FF2AE6B1"/>
      <color rgb="FF22C55E"/>
      <color rgb="FFE8E6E9"/>
      <color rgb="FFF7F8FC"/>
      <color rgb="FF5BF6A8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DIO.xlsx]C̳álculos!Tabela dinâmica2</c:name>
    <c:fmtId val="2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792915611393518"/>
          <c:y val="0.21482932584339703"/>
          <c:w val="0.79932695886566596"/>
          <c:h val="0.69301125557373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C̳álculos!$C$13:$C$15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C̳álculos!$D$13:$D$15</c:f>
              <c:numCache>
                <c:formatCode>_("R$"* #,##0.00_);_("R$"* \(#,##0.00\);_("R$"* "-"??_);_(@_)</c:formatCode>
                <c:ptCount val="2"/>
                <c:pt idx="0">
                  <c:v>1146</c:v>
                </c:pt>
                <c:pt idx="1">
                  <c:v>2421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FA-449F-9738-CBDE89A461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26576767"/>
        <c:axId val="1726574367"/>
      </c:barChart>
      <c:catAx>
        <c:axId val="17265767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/>
                </a:solidFill>
                <a:effectLst>
                  <a:glow>
                    <a:schemeClr val="accent1">
                      <a:alpha val="40000"/>
                    </a:schemeClr>
                  </a:glow>
                  <a:outerShdw blurRad="50800" dist="50800" dir="5400000" sx="4000" sy="4000" algn="ctr" rotWithShape="0">
                    <a:srgbClr val="000000">
                      <a:alpha val="43137"/>
                    </a:srgbClr>
                  </a:outerShdw>
                </a:effectLst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26574367"/>
        <c:crosses val="autoZero"/>
        <c:auto val="1"/>
        <c:lblAlgn val="ctr"/>
        <c:lblOffset val="100"/>
        <c:noMultiLvlLbl val="0"/>
      </c:catAx>
      <c:valAx>
        <c:axId val="172657436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72657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22C55E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DIO.xlsx]C̳álculos!Tabela subscriptions per month</c:name>
    <c:fmtId val="2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BC848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BF6A8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25400">
          <a:noFill/>
        </a:ln>
        <a:effectLst/>
        <a:sp3d/>
      </c:spPr>
    </c:sideWall>
    <c:backWall>
      <c:thickness val="0"/>
      <c:spPr>
        <a:noFill/>
        <a:ln w="25400"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C̳álculos!$D$54:$D$55</c:f>
              <c:strCache>
                <c:ptCount val="1"/>
                <c:pt idx="0">
                  <c:v>Core</c:v>
                </c:pt>
              </c:strCache>
            </c:strRef>
          </c:tx>
          <c:spPr>
            <a:solidFill>
              <a:srgbClr val="9BC848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C̳álculos!$C$56:$C$68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C̳álculos!$D$56:$D$68</c:f>
              <c:numCache>
                <c:formatCode>General</c:formatCode>
                <c:ptCount val="12"/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04-47C1-B70E-6BF773598769}"/>
            </c:ext>
          </c:extLst>
        </c:ser>
        <c:ser>
          <c:idx val="1"/>
          <c:order val="1"/>
          <c:tx>
            <c:strRef>
              <c:f>C̳álculos!$E$54:$E$55</c:f>
              <c:strCache>
                <c:ptCount val="1"/>
                <c:pt idx="0">
                  <c:v>Standard</c:v>
                </c:pt>
              </c:strCache>
            </c:strRef>
          </c:tx>
          <c:spPr>
            <a:solidFill>
              <a:srgbClr val="6BF6A8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C̳álculos!$C$56:$C$68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C̳álculos!$E$56:$E$68</c:f>
              <c:numCache>
                <c:formatCode>General</c:formatCode>
                <c:ptCount val="12"/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04-47C1-B70E-6BF773598769}"/>
            </c:ext>
          </c:extLst>
        </c:ser>
        <c:ser>
          <c:idx val="2"/>
          <c:order val="2"/>
          <c:tx>
            <c:strRef>
              <c:f>C̳álculos!$F$54:$F$55</c:f>
              <c:strCache>
                <c:ptCount val="1"/>
                <c:pt idx="0">
                  <c:v>Ultimate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C̳álculos!$C$56:$C$68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C̳álculos!$F$56:$F$68</c:f>
              <c:numCache>
                <c:formatCode>General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6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04-47C1-B70E-6BF77359876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9"/>
        <c:shape val="box"/>
        <c:axId val="1343431823"/>
        <c:axId val="1343430383"/>
        <c:axId val="0"/>
      </c:bar3DChart>
      <c:catAx>
        <c:axId val="1343431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3430383"/>
        <c:crosses val="autoZero"/>
        <c:auto val="1"/>
        <c:lblAlgn val="ctr"/>
        <c:lblOffset val="100"/>
        <c:noMultiLvlLbl val="0"/>
      </c:catAx>
      <c:valAx>
        <c:axId val="134343038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34343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8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1.xml"/><Relationship Id="rId7" Type="http://schemas.openxmlformats.org/officeDocument/2006/relationships/image" Target="../media/image10.svg"/><Relationship Id="rId2" Type="http://schemas.openxmlformats.org/officeDocument/2006/relationships/image" Target="../media/image5.png"/><Relationship Id="rId1" Type="http://schemas.openxmlformats.org/officeDocument/2006/relationships/image" Target="../media/image12.png"/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9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142875</xdr:colOff>
      <xdr:row>21</xdr:row>
      <xdr:rowOff>66674</xdr:rowOff>
    </xdr:from>
    <xdr:to>
      <xdr:col>8</xdr:col>
      <xdr:colOff>231775</xdr:colOff>
      <xdr:row>28</xdr:row>
      <xdr:rowOff>171449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C91EB06A-C29B-D6EA-AD87-186665086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0875" y="4219574"/>
          <a:ext cx="1917700" cy="1438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11933</xdr:rowOff>
    </xdr:from>
    <xdr:to>
      <xdr:col>2</xdr:col>
      <xdr:colOff>559594</xdr:colOff>
      <xdr:row>17</xdr:row>
      <xdr:rowOff>111747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5192E8E5-D2F5-44C9-A31A-8164E9B570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107433"/>
              <a:ext cx="2138023" cy="14333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523875</xdr:colOff>
      <xdr:row>0</xdr:row>
      <xdr:rowOff>0</xdr:rowOff>
    </xdr:from>
    <xdr:to>
      <xdr:col>4</xdr:col>
      <xdr:colOff>586808</xdr:colOff>
      <xdr:row>5</xdr:row>
      <xdr:rowOff>84619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2AF20062-C811-4A9B-B87F-216F650F5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2304" y="0"/>
          <a:ext cx="1654968" cy="1227619"/>
        </a:xfrm>
        <a:prstGeom prst="rect">
          <a:avLst/>
        </a:prstGeom>
      </xdr:spPr>
    </xdr:pic>
    <xdr:clientData/>
  </xdr:twoCellAnchor>
  <xdr:twoCellAnchor>
    <xdr:from>
      <xdr:col>0</xdr:col>
      <xdr:colOff>440531</xdr:colOff>
      <xdr:row>1</xdr:row>
      <xdr:rowOff>178592</xdr:rowOff>
    </xdr:from>
    <xdr:to>
      <xdr:col>2</xdr:col>
      <xdr:colOff>35719</xdr:colOff>
      <xdr:row>6</xdr:row>
      <xdr:rowOff>35718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6CD5DC1A-78D9-40DC-BFED-AB6EF2A1838D}"/>
            </a:ext>
          </a:extLst>
        </xdr:cNvPr>
        <xdr:cNvSpPr/>
      </xdr:nvSpPr>
      <xdr:spPr>
        <a:xfrm>
          <a:off x="440531" y="488155"/>
          <a:ext cx="1166813" cy="1071563"/>
        </a:xfrm>
        <a:prstGeom prst="ellipse">
          <a:avLst/>
        </a:prstGeom>
        <a:blipFill>
          <a:blip xmlns:r="http://schemas.openxmlformats.org/officeDocument/2006/relationships" r:embed="rId2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142875</xdr:colOff>
      <xdr:row>7</xdr:row>
      <xdr:rowOff>154782</xdr:rowOff>
    </xdr:from>
    <xdr:to>
      <xdr:col>2</xdr:col>
      <xdr:colOff>523875</xdr:colOff>
      <xdr:row>9</xdr:row>
      <xdr:rowOff>95250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9B5D68B3-DAA8-AC91-FC05-4FFA304E367C}"/>
            </a:ext>
          </a:extLst>
        </xdr:cNvPr>
        <xdr:cNvSpPr txBox="1"/>
      </xdr:nvSpPr>
      <xdr:spPr>
        <a:xfrm>
          <a:off x="142875" y="1869282"/>
          <a:ext cx="1952625" cy="3214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200" b="1">
              <a:solidFill>
                <a:schemeClr val="bg1"/>
              </a:solidFill>
              <a:effectLst>
                <a:glow rad="63500">
                  <a:schemeClr val="accent1">
                    <a:alpha val="40000"/>
                  </a:schemeClr>
                </a:glow>
              </a:effectLst>
              <a:latin typeface="Segoe UI" panose="020B0502040204020203" pitchFamily="34" charset="0"/>
              <a:cs typeface="Segoe UI" panose="020B0502040204020203" pitchFamily="34" charset="0"/>
            </a:rPr>
            <a:t>&gt; Bem Vinda,</a:t>
          </a:r>
          <a:r>
            <a:rPr lang="pt-BR" sz="1200" b="1" baseline="0">
              <a:solidFill>
                <a:schemeClr val="bg1"/>
              </a:solidFill>
              <a:effectLst>
                <a:glow rad="63500">
                  <a:schemeClr val="accent1">
                    <a:alpha val="40000"/>
                  </a:schemeClr>
                </a:glow>
              </a:effectLst>
              <a:latin typeface="Segoe UI" panose="020B0502040204020203" pitchFamily="34" charset="0"/>
              <a:cs typeface="Segoe UI" panose="020B0502040204020203" pitchFamily="34" charset="0"/>
            </a:rPr>
            <a:t> Amanda</a:t>
          </a:r>
          <a:endParaRPr lang="pt-BR" sz="1200" b="1">
            <a:solidFill>
              <a:schemeClr val="bg1"/>
            </a:solidFill>
            <a:effectLst>
              <a:glow rad="63500">
                <a:schemeClr val="accent1">
                  <a:alpha val="40000"/>
                </a:schemeClr>
              </a:glow>
            </a:effectLst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4</xdr:col>
      <xdr:colOff>40480</xdr:colOff>
      <xdr:row>21</xdr:row>
      <xdr:rowOff>186304</xdr:rowOff>
    </xdr:from>
    <xdr:to>
      <xdr:col>13</xdr:col>
      <xdr:colOff>0</xdr:colOff>
      <xdr:row>46</xdr:row>
      <xdr:rowOff>163286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6EA1F5F0-6C73-B1E3-D23A-445F33BFDCEE}"/>
            </a:ext>
          </a:extLst>
        </xdr:cNvPr>
        <xdr:cNvGrpSpPr/>
      </xdr:nvGrpSpPr>
      <xdr:grpSpPr>
        <a:xfrm>
          <a:off x="3207543" y="4484460"/>
          <a:ext cx="8174832" cy="4834732"/>
          <a:chOff x="3548063" y="6096000"/>
          <a:chExt cx="8858250" cy="4476750"/>
        </a:xfrm>
      </xdr:grpSpPr>
      <xdr:sp macro="" textlink="">
        <xdr:nvSpPr>
          <xdr:cNvPr id="18" name="CaixaDeTexto 17">
            <a:extLst>
              <a:ext uri="{FF2B5EF4-FFF2-40B4-BE49-F238E27FC236}">
                <a16:creationId xmlns:a16="http://schemas.microsoft.com/office/drawing/2014/main" id="{C991F464-E1F5-92AF-3041-47399BEAE5A9}"/>
              </a:ext>
            </a:extLst>
          </xdr:cNvPr>
          <xdr:cNvSpPr txBox="1">
            <a:spLocks/>
          </xdr:cNvSpPr>
        </xdr:nvSpPr>
        <xdr:spPr>
          <a:xfrm>
            <a:off x="3548063" y="6096000"/>
            <a:ext cx="8858250" cy="654844"/>
          </a:xfrm>
          <a:prstGeom prst="roundRect">
            <a:avLst>
              <a:gd name="adj" fmla="val 7576"/>
            </a:avLst>
          </a:prstGeom>
          <a:solidFill>
            <a:srgbClr val="22C55E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pt-BR" sz="16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</a:p>
        </xdr:txBody>
      </xdr:sp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E8808153-3F51-C43C-AC3D-8C57F74E70ED}"/>
              </a:ext>
            </a:extLst>
          </xdr:cNvPr>
          <xdr:cNvSpPr>
            <a:spLocks/>
          </xdr:cNvSpPr>
        </xdr:nvSpPr>
        <xdr:spPr>
          <a:xfrm>
            <a:off x="3548063" y="6667500"/>
            <a:ext cx="8858250" cy="3905250"/>
          </a:xfrm>
          <a:prstGeom prst="roundRect">
            <a:avLst>
              <a:gd name="adj" fmla="val 0"/>
            </a:avLst>
          </a:prstGeom>
          <a:solidFill>
            <a:schemeClr val="bg1"/>
          </a:solidFill>
          <a:ln>
            <a:noFill/>
          </a:ln>
          <a:effectLst>
            <a:glow rad="25400">
              <a:schemeClr val="accent1">
                <a:alpha val="40000"/>
              </a:schemeClr>
            </a:glow>
            <a:softEdge rad="0"/>
          </a:effectLst>
          <a:scene3d>
            <a:camera prst="orthographicFront"/>
            <a:lightRig rig="threePt" dir="t"/>
          </a:scene3d>
          <a:sp3d contourW="12700">
            <a:contourClr>
              <a:schemeClr val="bg1"/>
            </a:contourClr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8" name="Gráfico 7">
            <a:extLst>
              <a:ext uri="{FF2B5EF4-FFF2-40B4-BE49-F238E27FC236}">
                <a16:creationId xmlns:a16="http://schemas.microsoft.com/office/drawing/2014/main" id="{659978D3-EB1B-47D8-8569-7455D328AE1F}"/>
              </a:ext>
            </a:extLst>
          </xdr:cNvPr>
          <xdr:cNvGraphicFramePr>
            <a:graphicFrameLocks/>
          </xdr:cNvGraphicFramePr>
        </xdr:nvGraphicFramePr>
        <xdr:xfrm>
          <a:off x="3812039" y="6667500"/>
          <a:ext cx="8372056" cy="38176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4</xdr:col>
      <xdr:colOff>1</xdr:colOff>
      <xdr:row>7</xdr:row>
      <xdr:rowOff>154782</xdr:rowOff>
    </xdr:from>
    <xdr:to>
      <xdr:col>9</xdr:col>
      <xdr:colOff>846291</xdr:colOff>
      <xdr:row>19</xdr:row>
      <xdr:rowOff>13515</xdr:rowOff>
    </xdr:to>
    <xdr:grpSp>
      <xdr:nvGrpSpPr>
        <xdr:cNvPr id="43" name="Agrupar 42">
          <a:extLst>
            <a:ext uri="{FF2B5EF4-FFF2-40B4-BE49-F238E27FC236}">
              <a16:creationId xmlns:a16="http://schemas.microsoft.com/office/drawing/2014/main" id="{9B9616A1-A966-CC1C-A320-DD92F1FED65D}"/>
            </a:ext>
          </a:extLst>
        </xdr:cNvPr>
        <xdr:cNvGrpSpPr/>
      </xdr:nvGrpSpPr>
      <xdr:grpSpPr>
        <a:xfrm>
          <a:off x="3167064" y="1678782"/>
          <a:ext cx="5346852" cy="2144733"/>
          <a:chOff x="2881312" y="1869282"/>
          <a:chExt cx="4893469" cy="1851841"/>
        </a:xfrm>
      </xdr:grpSpPr>
      <xdr:grpSp>
        <xdr:nvGrpSpPr>
          <xdr:cNvPr id="36" name="Agrupar 35">
            <a:extLst>
              <a:ext uri="{FF2B5EF4-FFF2-40B4-BE49-F238E27FC236}">
                <a16:creationId xmlns:a16="http://schemas.microsoft.com/office/drawing/2014/main" id="{D6C04897-4DE0-D523-3669-550B3735C9AE}"/>
              </a:ext>
            </a:extLst>
          </xdr:cNvPr>
          <xdr:cNvGrpSpPr/>
        </xdr:nvGrpSpPr>
        <xdr:grpSpPr>
          <a:xfrm>
            <a:off x="2881312" y="1869282"/>
            <a:ext cx="4774406" cy="1840171"/>
            <a:chOff x="2881312" y="1869282"/>
            <a:chExt cx="4774406" cy="1840171"/>
          </a:xfrm>
        </xdr:grpSpPr>
        <xdr:sp macro="" textlink="">
          <xdr:nvSpPr>
            <xdr:cNvPr id="28" name="Retângulo: Cantos Arredondados 27">
              <a:extLst>
                <a:ext uri="{FF2B5EF4-FFF2-40B4-BE49-F238E27FC236}">
                  <a16:creationId xmlns:a16="http://schemas.microsoft.com/office/drawing/2014/main" id="{59817D4C-BA48-0B90-7E51-9F562486C3E8}"/>
                </a:ext>
              </a:extLst>
            </xdr:cNvPr>
            <xdr:cNvSpPr/>
          </xdr:nvSpPr>
          <xdr:spPr>
            <a:xfrm>
              <a:off x="2881312" y="2309813"/>
              <a:ext cx="4774406" cy="1399640"/>
            </a:xfrm>
            <a:prstGeom prst="roundRect">
              <a:avLst>
                <a:gd name="adj" fmla="val 2605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b="0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</a:p>
          </xdr:txBody>
        </xdr:sp>
        <xdr:sp macro="" textlink="">
          <xdr:nvSpPr>
            <xdr:cNvPr id="34" name="Retângulo: Cantos Arredondados 33">
              <a:extLst>
                <a:ext uri="{FF2B5EF4-FFF2-40B4-BE49-F238E27FC236}">
                  <a16:creationId xmlns:a16="http://schemas.microsoft.com/office/drawing/2014/main" id="{3510B4BA-3517-065E-8A5A-DAA7ACC093FB}"/>
                </a:ext>
              </a:extLst>
            </xdr:cNvPr>
            <xdr:cNvSpPr/>
          </xdr:nvSpPr>
          <xdr:spPr>
            <a:xfrm>
              <a:off x="2881312" y="1869282"/>
              <a:ext cx="4774406" cy="559593"/>
            </a:xfrm>
            <a:prstGeom prst="round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35" name="CaixaDeTexto 34">
              <a:extLst>
                <a:ext uri="{FF2B5EF4-FFF2-40B4-BE49-F238E27FC236}">
                  <a16:creationId xmlns:a16="http://schemas.microsoft.com/office/drawing/2014/main" id="{C7F9EC60-797A-A792-4869-5F779655693E}"/>
                </a:ext>
              </a:extLst>
            </xdr:cNvPr>
            <xdr:cNvSpPr txBox="1"/>
          </xdr:nvSpPr>
          <xdr:spPr>
            <a:xfrm>
              <a:off x="3000375" y="2024063"/>
              <a:ext cx="4655343" cy="2857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400" b="1">
                  <a:solidFill>
                    <a:schemeClr val="bg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TOTAL SUBSCRIPTIONS EA</a:t>
              </a:r>
              <a:r>
                <a:rPr lang="pt-BR" sz="1400" b="1" baseline="0">
                  <a:solidFill>
                    <a:schemeClr val="bg1"/>
                  </a:solidFill>
                  <a:effectLst/>
                  <a:latin typeface="Segoe UI" panose="020B0502040204020203" pitchFamily="34" charset="0"/>
                  <a:ea typeface="+mn-ea"/>
                  <a:cs typeface="Segoe UI" panose="020B0502040204020203" pitchFamily="34" charset="0"/>
                </a:rPr>
                <a:t> PLAY SEASON PASS</a:t>
              </a:r>
              <a:endParaRPr lang="pt-BR" sz="1400">
                <a:solidFill>
                  <a:schemeClr val="bg1"/>
                </a:solidFill>
                <a:effectLst/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C̳álculos!E27">
        <xdr:nvSpPr>
          <xdr:cNvPr id="41" name="Retângulo: Cantos Arredondados 40">
            <a:extLst>
              <a:ext uri="{FF2B5EF4-FFF2-40B4-BE49-F238E27FC236}">
                <a16:creationId xmlns:a16="http://schemas.microsoft.com/office/drawing/2014/main" id="{E65E3EF8-6D6B-D51A-0070-744492EF92AA}"/>
              </a:ext>
            </a:extLst>
          </xdr:cNvPr>
          <xdr:cNvSpPr/>
        </xdr:nvSpPr>
        <xdr:spPr>
          <a:xfrm>
            <a:off x="4391024" y="2601660"/>
            <a:ext cx="3383757" cy="952500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2F018FD-2661-4090-8745-5D74424307B0}" type="TxLink">
              <a:rPr lang="en-US" sz="3600" b="0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R$ 1.350,00</a:t>
            </a:fld>
            <a:endParaRPr lang="pt-BR" sz="3600" b="0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42" name="Imagem 41">
            <a:extLst>
              <a:ext uri="{FF2B5EF4-FFF2-40B4-BE49-F238E27FC236}">
                <a16:creationId xmlns:a16="http://schemas.microsoft.com/office/drawing/2014/main" id="{DBA7C72F-9E00-4A1D-AEE5-64A7D78AF6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71824" y="2434697"/>
            <a:ext cx="1286426" cy="1286426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1966532</xdr:colOff>
      <xdr:row>8</xdr:row>
      <xdr:rowOff>27275</xdr:rowOff>
    </xdr:from>
    <xdr:to>
      <xdr:col>21</xdr:col>
      <xdr:colOff>0</xdr:colOff>
      <xdr:row>19</xdr:row>
      <xdr:rowOff>0</xdr:rowOff>
    </xdr:to>
    <xdr:grpSp>
      <xdr:nvGrpSpPr>
        <xdr:cNvPr id="55" name="Agrupar 54">
          <a:extLst>
            <a:ext uri="{FF2B5EF4-FFF2-40B4-BE49-F238E27FC236}">
              <a16:creationId xmlns:a16="http://schemas.microsoft.com/office/drawing/2014/main" id="{9E957CA4-0738-68BF-F98A-CFCAE6F9FF79}"/>
            </a:ext>
          </a:extLst>
        </xdr:cNvPr>
        <xdr:cNvGrpSpPr/>
      </xdr:nvGrpSpPr>
      <xdr:grpSpPr>
        <a:xfrm>
          <a:off x="13348907" y="1741775"/>
          <a:ext cx="5498687" cy="2068225"/>
          <a:chOff x="9453562" y="1847849"/>
          <a:chExt cx="4893469" cy="1941423"/>
        </a:xfrm>
      </xdr:grpSpPr>
      <xdr:grpSp>
        <xdr:nvGrpSpPr>
          <xdr:cNvPr id="45" name="Agrupar 44">
            <a:extLst>
              <a:ext uri="{FF2B5EF4-FFF2-40B4-BE49-F238E27FC236}">
                <a16:creationId xmlns:a16="http://schemas.microsoft.com/office/drawing/2014/main" id="{ABB28F6B-4C13-4A04-9DE5-A523F25EA083}"/>
              </a:ext>
            </a:extLst>
          </xdr:cNvPr>
          <xdr:cNvGrpSpPr/>
        </xdr:nvGrpSpPr>
        <xdr:grpSpPr>
          <a:xfrm>
            <a:off x="9453562" y="1847849"/>
            <a:ext cx="4893469" cy="1941423"/>
            <a:chOff x="2881312" y="1869282"/>
            <a:chExt cx="4893469" cy="1941423"/>
          </a:xfrm>
        </xdr:grpSpPr>
        <xdr:grpSp>
          <xdr:nvGrpSpPr>
            <xdr:cNvPr id="46" name="Agrupar 45">
              <a:extLst>
                <a:ext uri="{FF2B5EF4-FFF2-40B4-BE49-F238E27FC236}">
                  <a16:creationId xmlns:a16="http://schemas.microsoft.com/office/drawing/2014/main" id="{E3E51A4B-0FE9-E72E-C332-0CF7EEA0B70B}"/>
                </a:ext>
              </a:extLst>
            </xdr:cNvPr>
            <xdr:cNvGrpSpPr/>
          </xdr:nvGrpSpPr>
          <xdr:grpSpPr>
            <a:xfrm>
              <a:off x="2881312" y="1869282"/>
              <a:ext cx="4774406" cy="1941423"/>
              <a:chOff x="2881312" y="1869282"/>
              <a:chExt cx="4774406" cy="1941423"/>
            </a:xfrm>
          </xdr:grpSpPr>
          <xdr:sp macro="" textlink="">
            <xdr:nvSpPr>
              <xdr:cNvPr id="49" name="Retângulo: Cantos Arredondados 48">
                <a:extLst>
                  <a:ext uri="{FF2B5EF4-FFF2-40B4-BE49-F238E27FC236}">
                    <a16:creationId xmlns:a16="http://schemas.microsoft.com/office/drawing/2014/main" id="{91C7D33B-56FF-4F31-1CB2-6DF8AB5D6D46}"/>
                  </a:ext>
                </a:extLst>
              </xdr:cNvPr>
              <xdr:cNvSpPr/>
            </xdr:nvSpPr>
            <xdr:spPr>
              <a:xfrm>
                <a:off x="2881312" y="2309814"/>
                <a:ext cx="4774406" cy="1500891"/>
              </a:xfrm>
              <a:prstGeom prst="roundRect">
                <a:avLst>
                  <a:gd name="adj" fmla="val 2605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b="0">
                    <a:solidFill>
                      <a:srgbClr val="22C55E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</a:t>
                </a:r>
              </a:p>
            </xdr:txBody>
          </xdr:sp>
          <xdr:sp macro="" textlink="">
            <xdr:nvSpPr>
              <xdr:cNvPr id="50" name="Retângulo: Cantos Arredondados 49">
                <a:extLst>
                  <a:ext uri="{FF2B5EF4-FFF2-40B4-BE49-F238E27FC236}">
                    <a16:creationId xmlns:a16="http://schemas.microsoft.com/office/drawing/2014/main" id="{24BD0682-8336-29B9-5F1A-8849C20F9490}"/>
                  </a:ext>
                </a:extLst>
              </xdr:cNvPr>
              <xdr:cNvSpPr/>
            </xdr:nvSpPr>
            <xdr:spPr>
              <a:xfrm>
                <a:off x="2881312" y="1869282"/>
                <a:ext cx="4774406" cy="559593"/>
              </a:xfrm>
              <a:prstGeom prst="round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51" name="CaixaDeTexto 50">
                <a:extLst>
                  <a:ext uri="{FF2B5EF4-FFF2-40B4-BE49-F238E27FC236}">
                    <a16:creationId xmlns:a16="http://schemas.microsoft.com/office/drawing/2014/main" id="{5E0B1038-DE39-293A-5247-F4B1F2FA3340}"/>
                  </a:ext>
                </a:extLst>
              </xdr:cNvPr>
              <xdr:cNvSpPr txBox="1"/>
            </xdr:nvSpPr>
            <xdr:spPr>
              <a:xfrm>
                <a:off x="3000375" y="2024063"/>
                <a:ext cx="4655343" cy="2857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400" b="1">
                    <a:solidFill>
                      <a:schemeClr val="bg1"/>
                    </a:solidFill>
                    <a:effectLst/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rPr>
                  <a:t>TOTAL SUBSCRIPTIONS MINECRAFT</a:t>
                </a:r>
                <a:r>
                  <a:rPr lang="pt-BR" sz="1400" b="1" baseline="0">
                    <a:solidFill>
                      <a:schemeClr val="bg1"/>
                    </a:solidFill>
                    <a:effectLst/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rPr>
                  <a:t> SEASON PASS</a:t>
                </a:r>
                <a:endParaRPr lang="pt-BR" sz="1400">
                  <a:solidFill>
                    <a:schemeClr val="bg1"/>
                  </a:solidFill>
                  <a:effectLst/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C̳álculos!E37">
          <xdr:nvSpPr>
            <xdr:cNvPr id="47" name="Retângulo: Cantos Arredondados 46">
              <a:extLst>
                <a:ext uri="{FF2B5EF4-FFF2-40B4-BE49-F238E27FC236}">
                  <a16:creationId xmlns:a16="http://schemas.microsoft.com/office/drawing/2014/main" id="{BF2105C8-F039-6114-A080-D558A27A2830}"/>
                </a:ext>
              </a:extLst>
            </xdr:cNvPr>
            <xdr:cNvSpPr/>
          </xdr:nvSpPr>
          <xdr:spPr>
            <a:xfrm>
              <a:off x="4391024" y="2631005"/>
              <a:ext cx="3383757" cy="9525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523EF99-14FA-48EC-8DAE-FA925A9EA815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R$ 1.800,00</a:t>
              </a:fld>
              <a:endParaRPr lang="pt-BR" sz="3600" b="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52" name="Agrupar 51">
            <a:extLst>
              <a:ext uri="{FF2B5EF4-FFF2-40B4-BE49-F238E27FC236}">
                <a16:creationId xmlns:a16="http://schemas.microsoft.com/office/drawing/2014/main" id="{90444C71-1E74-41A3-967C-ABD5BD1FB3AF}"/>
              </a:ext>
            </a:extLst>
          </xdr:cNvPr>
          <xdr:cNvGrpSpPr/>
        </xdr:nvGrpSpPr>
        <xdr:grpSpPr>
          <a:xfrm>
            <a:off x="9761462" y="2638197"/>
            <a:ext cx="1233891" cy="888968"/>
            <a:chOff x="3495675" y="5274241"/>
            <a:chExt cx="1233891" cy="888968"/>
          </a:xfrm>
        </xdr:grpSpPr>
        <xdr:pic>
          <xdr:nvPicPr>
            <xdr:cNvPr id="53" name="Imagem 52">
              <a:extLst>
                <a:ext uri="{FF2B5EF4-FFF2-40B4-BE49-F238E27FC236}">
                  <a16:creationId xmlns:a16="http://schemas.microsoft.com/office/drawing/2014/main" id="{9AECBBA1-4C68-7730-FEC3-C23BFFA25BD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783461" y="5274241"/>
              <a:ext cx="657705" cy="638099"/>
            </a:xfrm>
            <a:prstGeom prst="rect">
              <a:avLst/>
            </a:prstGeom>
          </xdr:spPr>
        </xdr:pic>
        <xdr:pic>
          <xdr:nvPicPr>
            <xdr:cNvPr id="54" name="Gráfico 53">
              <a:extLst>
                <a:ext uri="{FF2B5EF4-FFF2-40B4-BE49-F238E27FC236}">
                  <a16:creationId xmlns:a16="http://schemas.microsoft.com/office/drawing/2014/main" id="{ECDE6C07-B66B-6C2B-6595-78B5B0B5793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6">
              <a:extLst>
                <a:ext uri="{96DAC541-7B7A-43D3-8B79-37D633B846F1}">
                  <asvg:svgBlip xmlns:asvg="http://schemas.microsoft.com/office/drawing/2016/SVG/main" r:embed="rId7"/>
                </a:ext>
              </a:extLst>
            </a:blip>
            <a:stretch>
              <a:fillRect/>
            </a:stretch>
          </xdr:blipFill>
          <xdr:spPr>
            <a:xfrm>
              <a:off x="3495675" y="5865512"/>
              <a:ext cx="1233891" cy="297697"/>
            </a:xfrm>
            <a:prstGeom prst="rect">
              <a:avLst/>
            </a:prstGeom>
          </xdr:spPr>
        </xdr:pic>
      </xdr:grpSp>
    </xdr:grpSp>
    <xdr:clientData/>
  </xdr:twoCellAnchor>
  <xdr:oneCellAnchor>
    <xdr:from>
      <xdr:col>4</xdr:col>
      <xdr:colOff>0</xdr:colOff>
      <xdr:row>5</xdr:row>
      <xdr:rowOff>13607</xdr:rowOff>
    </xdr:from>
    <xdr:ext cx="5350255" cy="436786"/>
    <xdr:sp macro="" textlink="">
      <xdr:nvSpPr>
        <xdr:cNvPr id="56" name="CaixaDeTexto 55">
          <a:extLst>
            <a:ext uri="{FF2B5EF4-FFF2-40B4-BE49-F238E27FC236}">
              <a16:creationId xmlns:a16="http://schemas.microsoft.com/office/drawing/2014/main" id="{837F98FE-6C7C-1BD3-E46B-07148EA29C14}"/>
            </a:ext>
          </a:extLst>
        </xdr:cNvPr>
        <xdr:cNvSpPr txBox="1"/>
      </xdr:nvSpPr>
      <xdr:spPr>
        <a:xfrm>
          <a:off x="3007179" y="1156607"/>
          <a:ext cx="5350255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1100">
              <a:solidFill>
                <a:schemeClr val="bg2">
                  <a:lumMod val="50000"/>
                </a:schemeClr>
              </a:solidFill>
            </a:rPr>
            <a:t>Calculation</a:t>
          </a:r>
          <a:r>
            <a:rPr lang="pt-BR" sz="1100" baseline="0">
              <a:solidFill>
                <a:schemeClr val="bg2">
                  <a:lumMod val="50000"/>
                </a:schemeClr>
              </a:solidFill>
            </a:rPr>
            <a:t> period: 01/01/2024 - 31/12/2024 | Update date: 31/12/2025 00:37:00</a:t>
          </a:r>
          <a:endParaRPr lang="pt-BR" sz="1100">
            <a:solidFill>
              <a:schemeClr val="bg2">
                <a:lumMod val="50000"/>
              </a:schemeClr>
            </a:solidFill>
          </a:endParaRPr>
        </a:p>
        <a:p>
          <a:endParaRPr lang="pt-BR" sz="1100"/>
        </a:p>
      </xdr:txBody>
    </xdr:sp>
    <xdr:clientData/>
  </xdr:oneCellAnchor>
  <xdr:twoCellAnchor>
    <xdr:from>
      <xdr:col>9</xdr:col>
      <xdr:colOff>1224872</xdr:colOff>
      <xdr:row>7</xdr:row>
      <xdr:rowOff>149740</xdr:rowOff>
    </xdr:from>
    <xdr:to>
      <xdr:col>13</xdr:col>
      <xdr:colOff>1302504</xdr:colOff>
      <xdr:row>19</xdr:row>
      <xdr:rowOff>13517</xdr:rowOff>
    </xdr:to>
    <xdr:grpSp>
      <xdr:nvGrpSpPr>
        <xdr:cNvPr id="68" name="Agrupar 67">
          <a:extLst>
            <a:ext uri="{FF2B5EF4-FFF2-40B4-BE49-F238E27FC236}">
              <a16:creationId xmlns:a16="http://schemas.microsoft.com/office/drawing/2014/main" id="{9E51F1C9-8846-32C4-7DA3-24BF70FC04CE}"/>
            </a:ext>
          </a:extLst>
        </xdr:cNvPr>
        <xdr:cNvGrpSpPr/>
      </xdr:nvGrpSpPr>
      <xdr:grpSpPr>
        <a:xfrm>
          <a:off x="8892497" y="1673740"/>
          <a:ext cx="3792382" cy="2149777"/>
          <a:chOff x="7678437" y="1680574"/>
          <a:chExt cx="3673927" cy="2082594"/>
        </a:xfrm>
      </xdr:grpSpPr>
      <xdr:grpSp>
        <xdr:nvGrpSpPr>
          <xdr:cNvPr id="58" name="Agrupar 57">
            <a:extLst>
              <a:ext uri="{FF2B5EF4-FFF2-40B4-BE49-F238E27FC236}">
                <a16:creationId xmlns:a16="http://schemas.microsoft.com/office/drawing/2014/main" id="{6874CF68-A02B-920E-AA4A-F72831052A3D}"/>
              </a:ext>
            </a:extLst>
          </xdr:cNvPr>
          <xdr:cNvGrpSpPr/>
        </xdr:nvGrpSpPr>
        <xdr:grpSpPr>
          <a:xfrm>
            <a:off x="7678437" y="1680574"/>
            <a:ext cx="3673927" cy="2082594"/>
            <a:chOff x="2881312" y="1869282"/>
            <a:chExt cx="4893469" cy="1954911"/>
          </a:xfrm>
        </xdr:grpSpPr>
        <xdr:grpSp>
          <xdr:nvGrpSpPr>
            <xdr:cNvPr id="62" name="Agrupar 61">
              <a:extLst>
                <a:ext uri="{FF2B5EF4-FFF2-40B4-BE49-F238E27FC236}">
                  <a16:creationId xmlns:a16="http://schemas.microsoft.com/office/drawing/2014/main" id="{EA22D595-72C1-73E9-7F02-92E297D88CD1}"/>
                </a:ext>
              </a:extLst>
            </xdr:cNvPr>
            <xdr:cNvGrpSpPr/>
          </xdr:nvGrpSpPr>
          <xdr:grpSpPr>
            <a:xfrm>
              <a:off x="2881312" y="1869282"/>
              <a:ext cx="4774406" cy="1954911"/>
              <a:chOff x="2881312" y="1869282"/>
              <a:chExt cx="4774406" cy="1954911"/>
            </a:xfrm>
          </xdr:grpSpPr>
          <xdr:sp macro="" textlink="">
            <xdr:nvSpPr>
              <xdr:cNvPr id="64" name="Retângulo: Cantos Arredondados 63">
                <a:extLst>
                  <a:ext uri="{FF2B5EF4-FFF2-40B4-BE49-F238E27FC236}">
                    <a16:creationId xmlns:a16="http://schemas.microsoft.com/office/drawing/2014/main" id="{39741078-8A90-DD63-7219-1A58F825A0D6}"/>
                  </a:ext>
                </a:extLst>
              </xdr:cNvPr>
              <xdr:cNvSpPr/>
            </xdr:nvSpPr>
            <xdr:spPr>
              <a:xfrm>
                <a:off x="2881312" y="2309814"/>
                <a:ext cx="4774406" cy="1514379"/>
              </a:xfrm>
              <a:prstGeom prst="roundRect">
                <a:avLst>
                  <a:gd name="adj" fmla="val 2605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b="0">
                    <a:solidFill>
                      <a:srgbClr val="22C55E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</a:t>
                </a:r>
              </a:p>
            </xdr:txBody>
          </xdr:sp>
          <xdr:sp macro="" textlink="">
            <xdr:nvSpPr>
              <xdr:cNvPr id="65" name="Retângulo: Cantos Arredondados 64">
                <a:extLst>
                  <a:ext uri="{FF2B5EF4-FFF2-40B4-BE49-F238E27FC236}">
                    <a16:creationId xmlns:a16="http://schemas.microsoft.com/office/drawing/2014/main" id="{DC8652C8-144D-02BD-0A95-72F991D12743}"/>
                  </a:ext>
                </a:extLst>
              </xdr:cNvPr>
              <xdr:cNvSpPr/>
            </xdr:nvSpPr>
            <xdr:spPr>
              <a:xfrm>
                <a:off x="2881312" y="1869282"/>
                <a:ext cx="4774406" cy="559593"/>
              </a:xfrm>
              <a:prstGeom prst="roundRect">
                <a:avLst/>
              </a:prstGeom>
              <a:solidFill>
                <a:srgbClr val="22C55E"/>
              </a:solidFill>
              <a:ln>
                <a:noFill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66" name="CaixaDeTexto 65">
                <a:extLst>
                  <a:ext uri="{FF2B5EF4-FFF2-40B4-BE49-F238E27FC236}">
                    <a16:creationId xmlns:a16="http://schemas.microsoft.com/office/drawing/2014/main" id="{83EF021A-51A2-ACA6-2600-71B731CF4D52}"/>
                  </a:ext>
                </a:extLst>
              </xdr:cNvPr>
              <xdr:cNvSpPr txBox="1"/>
            </xdr:nvSpPr>
            <xdr:spPr>
              <a:xfrm>
                <a:off x="3000375" y="2024063"/>
                <a:ext cx="4655343" cy="2857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pt-BR" sz="1400" b="1">
                    <a:solidFill>
                      <a:schemeClr val="bg1"/>
                    </a:solidFill>
                    <a:effectLst/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rPr>
                  <a:t>TOTAL SUBSCRIPTIONS</a:t>
                </a:r>
              </a:p>
              <a:p>
                <a:pPr algn="ctr"/>
                <a:endParaRPr lang="pt-BR" sz="1400">
                  <a:solidFill>
                    <a:schemeClr val="bg1"/>
                  </a:solidFill>
                  <a:effectLst/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C̳álculos!E47">
          <xdr:nvSpPr>
            <xdr:cNvPr id="63" name="Retângulo: Cantos Arredondados 62">
              <a:extLst>
                <a:ext uri="{FF2B5EF4-FFF2-40B4-BE49-F238E27FC236}">
                  <a16:creationId xmlns:a16="http://schemas.microsoft.com/office/drawing/2014/main" id="{44B14178-DD01-FA36-2862-2058188BC516}"/>
                </a:ext>
              </a:extLst>
            </xdr:cNvPr>
            <xdr:cNvSpPr/>
          </xdr:nvSpPr>
          <xdr:spPr>
            <a:xfrm>
              <a:off x="4391024" y="2631005"/>
              <a:ext cx="3383757" cy="952500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29C3EA97-5101-43A0-A05C-2039068854CC}" type="TxLink">
                <a:rPr lang="en-US" sz="3600" b="0" i="0" u="none" strike="noStrike">
                  <a:solidFill>
                    <a:srgbClr val="22C55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138</a:t>
              </a:fld>
              <a:endParaRPr lang="pt-BR" sz="3600" b="0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">
        <xdr:nvSpPr>
          <xdr:cNvPr id="67" name="Elipse 66">
            <a:extLst>
              <a:ext uri="{FF2B5EF4-FFF2-40B4-BE49-F238E27FC236}">
                <a16:creationId xmlns:a16="http://schemas.microsoft.com/office/drawing/2014/main" id="{623889C5-649C-430A-96BF-C8D3AD0021AE}"/>
              </a:ext>
            </a:extLst>
          </xdr:cNvPr>
          <xdr:cNvSpPr/>
        </xdr:nvSpPr>
        <xdr:spPr>
          <a:xfrm>
            <a:off x="8197576" y="2505660"/>
            <a:ext cx="1150531" cy="1004642"/>
          </a:xfrm>
          <a:prstGeom prst="ellipse">
            <a:avLst/>
          </a:prstGeom>
          <a:blipFill>
            <a:blip xmlns:r="http://schemas.openxmlformats.org/officeDocument/2006/relationships" r:embed="rId8"/>
            <a:stretch>
              <a:fillRect/>
            </a:stretch>
          </a:blip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</xdr:grpSp>
    <xdr:clientData/>
  </xdr:twoCellAnchor>
  <xdr:twoCellAnchor>
    <xdr:from>
      <xdr:col>13</xdr:col>
      <xdr:colOff>1210563</xdr:colOff>
      <xdr:row>21</xdr:row>
      <xdr:rowOff>186304</xdr:rowOff>
    </xdr:from>
    <xdr:to>
      <xdr:col>21</xdr:col>
      <xdr:colOff>6504</xdr:colOff>
      <xdr:row>47</xdr:row>
      <xdr:rowOff>0</xdr:rowOff>
    </xdr:to>
    <xdr:grpSp>
      <xdr:nvGrpSpPr>
        <xdr:cNvPr id="9" name="Agrupar 8">
          <a:extLst>
            <a:ext uri="{FF2B5EF4-FFF2-40B4-BE49-F238E27FC236}">
              <a16:creationId xmlns:a16="http://schemas.microsoft.com/office/drawing/2014/main" id="{96D805B1-CE61-004F-1A9E-AB00FE884ACA}"/>
            </a:ext>
          </a:extLst>
        </xdr:cNvPr>
        <xdr:cNvGrpSpPr/>
      </xdr:nvGrpSpPr>
      <xdr:grpSpPr>
        <a:xfrm>
          <a:off x="12592938" y="4484460"/>
          <a:ext cx="6261160" cy="4861946"/>
          <a:chOff x="12586134" y="4485460"/>
          <a:chExt cx="6266263" cy="4876255"/>
        </a:xfrm>
      </xdr:grpSpPr>
      <xdr:grpSp>
        <xdr:nvGrpSpPr>
          <xdr:cNvPr id="3" name="Agrupar 2">
            <a:extLst>
              <a:ext uri="{FF2B5EF4-FFF2-40B4-BE49-F238E27FC236}">
                <a16:creationId xmlns:a16="http://schemas.microsoft.com/office/drawing/2014/main" id="{18AE247D-AD00-470F-A572-BEA5A899E27E}"/>
              </a:ext>
            </a:extLst>
          </xdr:cNvPr>
          <xdr:cNvGrpSpPr/>
        </xdr:nvGrpSpPr>
        <xdr:grpSpPr>
          <a:xfrm>
            <a:off x="12586134" y="4485460"/>
            <a:ext cx="6266263" cy="4876255"/>
            <a:chOff x="3548063" y="6019104"/>
            <a:chExt cx="8858250" cy="4553646"/>
          </a:xfrm>
        </xdr:grpSpPr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724DCC9C-413C-C139-71B8-224FCB914072}"/>
                </a:ext>
              </a:extLst>
            </xdr:cNvPr>
            <xdr:cNvSpPr txBox="1">
              <a:spLocks/>
            </xdr:cNvSpPr>
          </xdr:nvSpPr>
          <xdr:spPr>
            <a:xfrm>
              <a:off x="3548063" y="6019104"/>
              <a:ext cx="8858250" cy="731740"/>
            </a:xfrm>
            <a:prstGeom prst="roundRect">
              <a:avLst>
                <a:gd name="adj" fmla="val 7576"/>
              </a:avLst>
            </a:prstGeom>
            <a:solidFill>
              <a:srgbClr val="22C55E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pt-BR" sz="1600" b="1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PER</a:t>
              </a:r>
              <a:r>
                <a:rPr lang="pt-BR" sz="1600" b="1" baseline="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MONTH</a:t>
              </a:r>
              <a:endParaRPr lang="pt-BR" sz="1600" b="1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FB86319B-9075-3E11-2959-D20304EFB042}"/>
                </a:ext>
              </a:extLst>
            </xdr:cNvPr>
            <xdr:cNvSpPr>
              <a:spLocks/>
            </xdr:cNvSpPr>
          </xdr:nvSpPr>
          <xdr:spPr>
            <a:xfrm>
              <a:off x="3548063" y="6667500"/>
              <a:ext cx="8858250" cy="3905250"/>
            </a:xfrm>
            <a:prstGeom prst="roundRect">
              <a:avLst>
                <a:gd name="adj" fmla="val 0"/>
              </a:avLst>
            </a:prstGeom>
            <a:solidFill>
              <a:schemeClr val="bg1"/>
            </a:solidFill>
            <a:ln>
              <a:noFill/>
            </a:ln>
            <a:effectLst>
              <a:glow rad="25400">
                <a:schemeClr val="accent1">
                  <a:alpha val="40000"/>
                </a:schemeClr>
              </a:glow>
              <a:softEdge rad="0"/>
            </a:effectLst>
            <a:scene3d>
              <a:camera prst="orthographicFront"/>
              <a:lightRig rig="threePt" dir="t"/>
            </a:scene3d>
            <a:sp3d contourW="12700">
              <a:contourClr>
                <a:schemeClr val="bg1"/>
              </a:contourClr>
            </a:sp3d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</xdr:grpSp>
      <xdr:graphicFrame macro="">
        <xdr:nvGraphicFramePr>
          <xdr:cNvPr id="2" name="Gráfico 1">
            <a:extLst>
              <a:ext uri="{FF2B5EF4-FFF2-40B4-BE49-F238E27FC236}">
                <a16:creationId xmlns:a16="http://schemas.microsoft.com/office/drawing/2014/main" id="{D8D926F0-BBBB-46B4-8C12-4C614138BDDE}"/>
              </a:ext>
            </a:extLst>
          </xdr:cNvPr>
          <xdr:cNvGraphicFramePr>
            <a:graphicFrameLocks/>
          </xdr:cNvGraphicFramePr>
        </xdr:nvGraphicFramePr>
        <xdr:xfrm>
          <a:off x="12691681" y="5442857"/>
          <a:ext cx="6026801" cy="375557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ulo" refreshedDate="46021.831296875003" createdVersion="8" refreshedVersion="8" minRefreshableVersion="3" recordCount="293" xr:uid="{FDAE0C9E-2F5C-4812-A18B-C7623ECDE25B}">
  <cacheSource type="worksheet">
    <worksheetSource ref="A1:M294" sheet="B̳ases"/>
  </cacheSource>
  <cacheFields count="15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 count="292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5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5/12/2024"/>
        </groupItems>
      </fieldGroup>
    </cacheField>
    <cacheField name="Meses (Start Date)" numFmtId="0" databaseField="0">
      <fieldGroup base="3">
        <rangePr groupBy="months" startDate="2024-01-01T00:00:00" endDate="2024-12-15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5/12/2024"/>
        </groupItems>
      </fieldGroup>
    </cacheField>
  </cacheFields>
  <extLst>
    <ext xmlns:x14="http://schemas.microsoft.com/office/spreadsheetml/2009/9/main" uri="{725AE2AE-9491-48be-B2B4-4EB974FC3084}">
      <x14:pivotCacheDefinition pivotCacheId="9425810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x v="0"/>
    <x v="0"/>
    <n v="15"/>
    <x v="0"/>
    <x v="0"/>
    <n v="30"/>
    <s v="Yes"/>
    <x v="0"/>
    <n v="5"/>
    <n v="60"/>
  </r>
  <r>
    <n v="3232"/>
    <s v="Maria Oliveira"/>
    <x v="1"/>
    <x v="1"/>
    <x v="1"/>
    <n v="5"/>
    <x v="1"/>
    <x v="1"/>
    <s v="-"/>
    <s v="No"/>
    <x v="1"/>
    <n v="0"/>
    <n v="5"/>
  </r>
  <r>
    <n v="3233"/>
    <s v="Lucas Fernandes"/>
    <x v="2"/>
    <x v="2"/>
    <x v="0"/>
    <n v="10"/>
    <x v="2"/>
    <x v="1"/>
    <s v="-"/>
    <s v="Yes"/>
    <x v="0"/>
    <n v="10"/>
    <n v="20"/>
  </r>
  <r>
    <n v="3234"/>
    <s v="Ana Souza"/>
    <x v="0"/>
    <x v="3"/>
    <x v="1"/>
    <n v="15"/>
    <x v="0"/>
    <x v="0"/>
    <n v="30"/>
    <s v="Yes"/>
    <x v="0"/>
    <n v="3"/>
    <n v="62"/>
  </r>
  <r>
    <n v="3235"/>
    <s v="Pedro Gonçalves"/>
    <x v="1"/>
    <x v="4"/>
    <x v="0"/>
    <n v="5"/>
    <x v="0"/>
    <x v="1"/>
    <s v="-"/>
    <s v="No"/>
    <x v="1"/>
    <n v="1"/>
    <n v="4"/>
  </r>
  <r>
    <n v="3236"/>
    <s v="Felipe Costa"/>
    <x v="2"/>
    <x v="5"/>
    <x v="1"/>
    <n v="10"/>
    <x v="0"/>
    <x v="1"/>
    <s v="-"/>
    <s v="Yes"/>
    <x v="0"/>
    <n v="2"/>
    <n v="28"/>
  </r>
  <r>
    <n v="3237"/>
    <s v="Camila Ribeiro"/>
    <x v="0"/>
    <x v="6"/>
    <x v="0"/>
    <n v="15"/>
    <x v="2"/>
    <x v="0"/>
    <n v="30"/>
    <s v="Yes"/>
    <x v="0"/>
    <n v="10"/>
    <n v="55"/>
  </r>
  <r>
    <n v="3238"/>
    <s v="André Mendes"/>
    <x v="1"/>
    <x v="7"/>
    <x v="0"/>
    <n v="5"/>
    <x v="1"/>
    <x v="1"/>
    <s v="-"/>
    <s v="No"/>
    <x v="1"/>
    <n v="0"/>
    <n v="5"/>
  </r>
  <r>
    <n v="3239"/>
    <s v="Sofia Almeida"/>
    <x v="0"/>
    <x v="4"/>
    <x v="1"/>
    <n v="15"/>
    <x v="0"/>
    <x v="0"/>
    <n v="30"/>
    <s v="Yes"/>
    <x v="0"/>
    <n v="5"/>
    <n v="60"/>
  </r>
  <r>
    <n v="3240"/>
    <s v="Bruno Martins"/>
    <x v="2"/>
    <x v="8"/>
    <x v="0"/>
    <n v="10"/>
    <x v="2"/>
    <x v="1"/>
    <s v="-"/>
    <s v="Yes"/>
    <x v="0"/>
    <n v="15"/>
    <n v="15"/>
  </r>
  <r>
    <n v="3241"/>
    <s v="Rita Castro"/>
    <x v="1"/>
    <x v="9"/>
    <x v="1"/>
    <n v="5"/>
    <x v="0"/>
    <x v="1"/>
    <s v="-"/>
    <s v="No"/>
    <x v="1"/>
    <n v="1"/>
    <n v="4"/>
  </r>
  <r>
    <n v="3242"/>
    <s v="Marco Túlio"/>
    <x v="0"/>
    <x v="10"/>
    <x v="0"/>
    <n v="15"/>
    <x v="1"/>
    <x v="0"/>
    <n v="30"/>
    <s v="Yes"/>
    <x v="0"/>
    <n v="20"/>
    <n v="45"/>
  </r>
  <r>
    <n v="3243"/>
    <s v="Lívia Silveira"/>
    <x v="2"/>
    <x v="11"/>
    <x v="1"/>
    <n v="10"/>
    <x v="0"/>
    <x v="1"/>
    <s v="-"/>
    <s v="Yes"/>
    <x v="0"/>
    <n v="10"/>
    <n v="20"/>
  </r>
  <r>
    <n v="3244"/>
    <s v="Diogo Sousa"/>
    <x v="1"/>
    <x v="12"/>
    <x v="0"/>
    <n v="5"/>
    <x v="2"/>
    <x v="1"/>
    <s v="-"/>
    <s v="No"/>
    <x v="1"/>
    <n v="0"/>
    <n v="5"/>
  </r>
  <r>
    <n v="3245"/>
    <s v="Fernanda Lima"/>
    <x v="0"/>
    <x v="13"/>
    <x v="1"/>
    <n v="15"/>
    <x v="0"/>
    <x v="0"/>
    <n v="30"/>
    <s v="Yes"/>
    <x v="0"/>
    <n v="8"/>
    <n v="57"/>
  </r>
  <r>
    <n v="3246"/>
    <s v="Caio Pereira"/>
    <x v="2"/>
    <x v="14"/>
    <x v="0"/>
    <n v="10"/>
    <x v="1"/>
    <x v="1"/>
    <s v="-"/>
    <s v="Yes"/>
    <x v="0"/>
    <n v="12"/>
    <n v="18"/>
  </r>
  <r>
    <n v="3247"/>
    <s v="Beatriz Gomes"/>
    <x v="1"/>
    <x v="15"/>
    <x v="1"/>
    <n v="5"/>
    <x v="0"/>
    <x v="1"/>
    <s v="-"/>
    <s v="No"/>
    <x v="1"/>
    <n v="2"/>
    <n v="3"/>
  </r>
  <r>
    <n v="3248"/>
    <s v="Cesar Oliveira"/>
    <x v="0"/>
    <x v="16"/>
    <x v="0"/>
    <n v="15"/>
    <x v="2"/>
    <x v="0"/>
    <n v="30"/>
    <s v="Yes"/>
    <x v="0"/>
    <n v="7"/>
    <n v="58"/>
  </r>
  <r>
    <n v="3249"/>
    <s v="Débora Machado"/>
    <x v="2"/>
    <x v="17"/>
    <x v="1"/>
    <n v="10"/>
    <x v="0"/>
    <x v="1"/>
    <s v="-"/>
    <s v="Yes"/>
    <x v="0"/>
    <n v="5"/>
    <n v="25"/>
  </r>
  <r>
    <n v="3250"/>
    <s v="Eduardo Vargas"/>
    <x v="1"/>
    <x v="18"/>
    <x v="0"/>
    <n v="5"/>
    <x v="1"/>
    <x v="1"/>
    <s v="-"/>
    <s v="No"/>
    <x v="1"/>
    <n v="0"/>
    <n v="5"/>
  </r>
  <r>
    <n v="3251"/>
    <s v="Gabriela Santos"/>
    <x v="0"/>
    <x v="19"/>
    <x v="1"/>
    <n v="15"/>
    <x v="0"/>
    <x v="0"/>
    <n v="30"/>
    <s v="Yes"/>
    <x v="0"/>
    <n v="3"/>
    <n v="62"/>
  </r>
  <r>
    <n v="3252"/>
    <s v="Henrique Dias"/>
    <x v="2"/>
    <x v="20"/>
    <x v="0"/>
    <n v="10"/>
    <x v="2"/>
    <x v="1"/>
    <s v="-"/>
    <s v="Yes"/>
    <x v="0"/>
    <n v="15"/>
    <n v="15"/>
  </r>
  <r>
    <n v="3253"/>
    <s v="Isabela Moreira"/>
    <x v="1"/>
    <x v="21"/>
    <x v="1"/>
    <n v="5"/>
    <x v="0"/>
    <x v="1"/>
    <s v="-"/>
    <s v="No"/>
    <x v="1"/>
    <n v="1"/>
    <n v="4"/>
  </r>
  <r>
    <n v="3254"/>
    <s v="Joaquim Barbosa"/>
    <x v="0"/>
    <x v="22"/>
    <x v="0"/>
    <n v="15"/>
    <x v="1"/>
    <x v="0"/>
    <n v="30"/>
    <s v="Yes"/>
    <x v="0"/>
    <n v="20"/>
    <n v="45"/>
  </r>
  <r>
    <n v="3255"/>
    <s v="Lara Rocha"/>
    <x v="2"/>
    <x v="23"/>
    <x v="1"/>
    <n v="10"/>
    <x v="0"/>
    <x v="1"/>
    <s v="-"/>
    <s v="Yes"/>
    <x v="0"/>
    <n v="10"/>
    <n v="20"/>
  </r>
  <r>
    <n v="3256"/>
    <s v="Matheus Silva"/>
    <x v="1"/>
    <x v="24"/>
    <x v="0"/>
    <n v="5"/>
    <x v="2"/>
    <x v="1"/>
    <s v="-"/>
    <s v="No"/>
    <x v="1"/>
    <n v="0"/>
    <n v="5"/>
  </r>
  <r>
    <n v="3257"/>
    <s v="Nicole Costa"/>
    <x v="0"/>
    <x v="25"/>
    <x v="1"/>
    <n v="15"/>
    <x v="0"/>
    <x v="0"/>
    <n v="30"/>
    <s v="Yes"/>
    <x v="0"/>
    <n v="5"/>
    <n v="60"/>
  </r>
  <r>
    <n v="3258"/>
    <s v="Otávio Mendonça"/>
    <x v="2"/>
    <x v="26"/>
    <x v="0"/>
    <n v="10"/>
    <x v="1"/>
    <x v="1"/>
    <s v="-"/>
    <s v="Yes"/>
    <x v="0"/>
    <n v="15"/>
    <n v="15"/>
  </r>
  <r>
    <n v="3259"/>
    <s v="Paula Ferreira"/>
    <x v="1"/>
    <x v="27"/>
    <x v="1"/>
    <n v="5"/>
    <x v="0"/>
    <x v="1"/>
    <s v="-"/>
    <s v="No"/>
    <x v="1"/>
    <n v="1"/>
    <n v="4"/>
  </r>
  <r>
    <n v="3260"/>
    <s v="Raquel Alves"/>
    <x v="0"/>
    <x v="28"/>
    <x v="0"/>
    <n v="15"/>
    <x v="2"/>
    <x v="0"/>
    <n v="30"/>
    <s v="Yes"/>
    <x v="0"/>
    <n v="7"/>
    <n v="58"/>
  </r>
  <r>
    <n v="3261"/>
    <s v="Samuel Pires"/>
    <x v="2"/>
    <x v="29"/>
    <x v="1"/>
    <n v="10"/>
    <x v="0"/>
    <x v="1"/>
    <s v="-"/>
    <s v="Yes"/>
    <x v="0"/>
    <n v="10"/>
    <n v="20"/>
  </r>
  <r>
    <n v="3262"/>
    <s v="Tânia Barros"/>
    <x v="1"/>
    <x v="30"/>
    <x v="0"/>
    <n v="5"/>
    <x v="1"/>
    <x v="1"/>
    <s v="-"/>
    <s v="No"/>
    <x v="1"/>
    <n v="0"/>
    <n v="5"/>
  </r>
  <r>
    <n v="3263"/>
    <s v="Vinicius Lima"/>
    <x v="0"/>
    <x v="31"/>
    <x v="1"/>
    <n v="15"/>
    <x v="0"/>
    <x v="0"/>
    <n v="30"/>
    <s v="Yes"/>
    <x v="0"/>
    <n v="3"/>
    <n v="62"/>
  </r>
  <r>
    <n v="3264"/>
    <s v="Yasmin Teixeira"/>
    <x v="2"/>
    <x v="32"/>
    <x v="0"/>
    <n v="10"/>
    <x v="2"/>
    <x v="1"/>
    <s v="-"/>
    <s v="Yes"/>
    <x v="0"/>
    <n v="15"/>
    <n v="15"/>
  </r>
  <r>
    <n v="3265"/>
    <s v="Zé Carlos"/>
    <x v="1"/>
    <x v="33"/>
    <x v="1"/>
    <n v="5"/>
    <x v="0"/>
    <x v="1"/>
    <s v="-"/>
    <s v="No"/>
    <x v="1"/>
    <n v="1"/>
    <n v="4"/>
  </r>
  <r>
    <n v="3266"/>
    <s v="Amanda Nogueira"/>
    <x v="1"/>
    <x v="34"/>
    <x v="0"/>
    <n v="5"/>
    <x v="0"/>
    <x v="1"/>
    <s v="-"/>
    <s v="No"/>
    <x v="1"/>
    <n v="0"/>
    <n v="5"/>
  </r>
  <r>
    <n v="3267"/>
    <s v="Bruno Cavalheiro"/>
    <x v="0"/>
    <x v="35"/>
    <x v="1"/>
    <n v="15"/>
    <x v="2"/>
    <x v="0"/>
    <n v="30"/>
    <s v="Yes"/>
    <x v="0"/>
    <n v="7"/>
    <n v="58"/>
  </r>
  <r>
    <n v="3268"/>
    <s v="Carla Dias"/>
    <x v="2"/>
    <x v="36"/>
    <x v="0"/>
    <n v="10"/>
    <x v="1"/>
    <x v="1"/>
    <s v="-"/>
    <s v="Yes"/>
    <x v="0"/>
    <n v="10"/>
    <n v="20"/>
  </r>
  <r>
    <n v="3269"/>
    <s v="Diego Fontes"/>
    <x v="1"/>
    <x v="37"/>
    <x v="1"/>
    <n v="5"/>
    <x v="2"/>
    <x v="1"/>
    <s v="-"/>
    <s v="No"/>
    <x v="1"/>
    <n v="1"/>
    <n v="4"/>
  </r>
  <r>
    <n v="3270"/>
    <s v="Eunice Lima"/>
    <x v="0"/>
    <x v="38"/>
    <x v="0"/>
    <n v="15"/>
    <x v="0"/>
    <x v="0"/>
    <n v="30"/>
    <s v="Yes"/>
    <x v="0"/>
    <n v="15"/>
    <n v="50"/>
  </r>
  <r>
    <n v="3271"/>
    <s v="Fábio Martins"/>
    <x v="2"/>
    <x v="39"/>
    <x v="1"/>
    <n v="10"/>
    <x v="0"/>
    <x v="1"/>
    <s v="-"/>
    <s v="Yes"/>
    <x v="0"/>
    <n v="5"/>
    <n v="25"/>
  </r>
  <r>
    <n v="3272"/>
    <s v="Gisele Araújo"/>
    <x v="1"/>
    <x v="40"/>
    <x v="0"/>
    <n v="5"/>
    <x v="1"/>
    <x v="1"/>
    <s v="-"/>
    <s v="No"/>
    <x v="1"/>
    <n v="0"/>
    <n v="5"/>
  </r>
  <r>
    <n v="3273"/>
    <s v="Hélio Castro"/>
    <x v="0"/>
    <x v="41"/>
    <x v="1"/>
    <n v="15"/>
    <x v="2"/>
    <x v="0"/>
    <n v="30"/>
    <s v="Yes"/>
    <x v="0"/>
    <n v="20"/>
    <n v="45"/>
  </r>
  <r>
    <n v="3274"/>
    <s v="Ingrid Menezes"/>
    <x v="2"/>
    <x v="42"/>
    <x v="0"/>
    <n v="10"/>
    <x v="2"/>
    <x v="1"/>
    <s v="-"/>
    <s v="Yes"/>
    <x v="0"/>
    <n v="12"/>
    <n v="18"/>
  </r>
  <r>
    <n v="3275"/>
    <s v="Jorge Baptista"/>
    <x v="1"/>
    <x v="43"/>
    <x v="1"/>
    <n v="5"/>
    <x v="0"/>
    <x v="1"/>
    <s v="-"/>
    <s v="No"/>
    <x v="1"/>
    <n v="2"/>
    <n v="3"/>
  </r>
  <r>
    <n v="3276"/>
    <s v="Kléber Oliveira"/>
    <x v="0"/>
    <x v="44"/>
    <x v="0"/>
    <n v="15"/>
    <x v="1"/>
    <x v="0"/>
    <n v="30"/>
    <s v="Yes"/>
    <x v="0"/>
    <n v="5"/>
    <n v="60"/>
  </r>
  <r>
    <n v="3277"/>
    <s v="Luciana Freitas"/>
    <x v="2"/>
    <x v="45"/>
    <x v="1"/>
    <n v="10"/>
    <x v="0"/>
    <x v="1"/>
    <s v="-"/>
    <s v="Yes"/>
    <x v="0"/>
    <n v="10"/>
    <n v="20"/>
  </r>
  <r>
    <n v="3278"/>
    <s v="Márcia Eller"/>
    <x v="1"/>
    <x v="46"/>
    <x v="0"/>
    <n v="5"/>
    <x v="2"/>
    <x v="1"/>
    <s v="-"/>
    <s v="No"/>
    <x v="1"/>
    <n v="0"/>
    <n v="5"/>
  </r>
  <r>
    <n v="3279"/>
    <s v="Nilo Peçanha"/>
    <x v="0"/>
    <x v="47"/>
    <x v="1"/>
    <n v="15"/>
    <x v="0"/>
    <x v="0"/>
    <n v="30"/>
    <s v="Yes"/>
    <x v="0"/>
    <n v="3"/>
    <n v="62"/>
  </r>
  <r>
    <n v="3280"/>
    <s v="Oscar Neves"/>
    <x v="2"/>
    <x v="48"/>
    <x v="0"/>
    <n v="10"/>
    <x v="1"/>
    <x v="1"/>
    <s v="-"/>
    <s v="Yes"/>
    <x v="0"/>
    <n v="15"/>
    <n v="15"/>
  </r>
  <r>
    <n v="3281"/>
    <s v="Patrícia Soares"/>
    <x v="1"/>
    <x v="49"/>
    <x v="1"/>
    <n v="5"/>
    <x v="0"/>
    <x v="1"/>
    <s v="-"/>
    <s v="No"/>
    <x v="1"/>
    <n v="1"/>
    <n v="4"/>
  </r>
  <r>
    <n v="3282"/>
    <s v="Quirino Gonçalves"/>
    <x v="0"/>
    <x v="50"/>
    <x v="0"/>
    <n v="15"/>
    <x v="2"/>
    <x v="0"/>
    <n v="30"/>
    <s v="Yes"/>
    <x v="0"/>
    <n v="7"/>
    <n v="58"/>
  </r>
  <r>
    <n v="3283"/>
    <s v="Raul Machado"/>
    <x v="2"/>
    <x v="51"/>
    <x v="1"/>
    <n v="10"/>
    <x v="0"/>
    <x v="1"/>
    <s v="-"/>
    <s v="Yes"/>
    <x v="0"/>
    <n v="10"/>
    <n v="20"/>
  </r>
  <r>
    <n v="3284"/>
    <s v="Sônia Lobo"/>
    <x v="1"/>
    <x v="52"/>
    <x v="0"/>
    <n v="5"/>
    <x v="1"/>
    <x v="1"/>
    <s v="-"/>
    <s v="No"/>
    <x v="1"/>
    <n v="0"/>
    <n v="5"/>
  </r>
  <r>
    <n v="3285"/>
    <s v="Tiago Ramos"/>
    <x v="0"/>
    <x v="53"/>
    <x v="1"/>
    <n v="15"/>
    <x v="0"/>
    <x v="0"/>
    <n v="30"/>
    <s v="Yes"/>
    <x v="0"/>
    <n v="20"/>
    <n v="45"/>
  </r>
  <r>
    <n v="3286"/>
    <s v="Ugo Pires"/>
    <x v="2"/>
    <x v="54"/>
    <x v="0"/>
    <n v="10"/>
    <x v="2"/>
    <x v="1"/>
    <s v="-"/>
    <s v="Yes"/>
    <x v="0"/>
    <n v="15"/>
    <n v="15"/>
  </r>
  <r>
    <n v="3287"/>
    <s v="Valéria Nobre"/>
    <x v="1"/>
    <x v="55"/>
    <x v="1"/>
    <n v="5"/>
    <x v="0"/>
    <x v="1"/>
    <s v="-"/>
    <s v="No"/>
    <x v="1"/>
    <n v="1"/>
    <n v="4"/>
  </r>
  <r>
    <n v="3288"/>
    <s v="William Siqueira"/>
    <x v="0"/>
    <x v="56"/>
    <x v="0"/>
    <n v="15"/>
    <x v="1"/>
    <x v="0"/>
    <n v="30"/>
    <s v="Yes"/>
    <x v="0"/>
    <n v="3"/>
    <n v="62"/>
  </r>
  <r>
    <n v="3289"/>
    <s v="Xuxa Meneghel"/>
    <x v="2"/>
    <x v="57"/>
    <x v="1"/>
    <n v="10"/>
    <x v="0"/>
    <x v="1"/>
    <s v="-"/>
    <s v="Yes"/>
    <x v="0"/>
    <n v="10"/>
    <n v="20"/>
  </r>
  <r>
    <n v="3290"/>
    <s v="Yara Figueiredo"/>
    <x v="1"/>
    <x v="58"/>
    <x v="0"/>
    <n v="5"/>
    <x v="2"/>
    <x v="1"/>
    <s v="-"/>
    <s v="No"/>
    <x v="1"/>
    <n v="0"/>
    <n v="5"/>
  </r>
  <r>
    <n v="3291"/>
    <s v="Zacarias Alves"/>
    <x v="0"/>
    <x v="59"/>
    <x v="1"/>
    <n v="15"/>
    <x v="0"/>
    <x v="0"/>
    <n v="30"/>
    <s v="Yes"/>
    <x v="0"/>
    <n v="5"/>
    <n v="60"/>
  </r>
  <r>
    <n v="3292"/>
    <s v="Amanda Bynes"/>
    <x v="2"/>
    <x v="60"/>
    <x v="0"/>
    <n v="10"/>
    <x v="1"/>
    <x v="1"/>
    <s v="-"/>
    <s v="Yes"/>
    <x v="0"/>
    <n v="15"/>
    <n v="15"/>
  </r>
  <r>
    <n v="3293"/>
    <s v="Bruno Mars"/>
    <x v="1"/>
    <x v="61"/>
    <x v="1"/>
    <n v="5"/>
    <x v="0"/>
    <x v="1"/>
    <s v="-"/>
    <s v="No"/>
    <x v="1"/>
    <n v="1"/>
    <n v="4"/>
  </r>
  <r>
    <n v="3294"/>
    <s v="Carla Bruni"/>
    <x v="0"/>
    <x v="62"/>
    <x v="0"/>
    <n v="15"/>
    <x v="2"/>
    <x v="0"/>
    <n v="30"/>
    <s v="Yes"/>
    <x v="0"/>
    <n v="20"/>
    <n v="45"/>
  </r>
  <r>
    <n v="3295"/>
    <s v="Diego Maradona"/>
    <x v="2"/>
    <x v="63"/>
    <x v="1"/>
    <n v="10"/>
    <x v="0"/>
    <x v="1"/>
    <s v="-"/>
    <s v="Yes"/>
    <x v="0"/>
    <n v="5"/>
    <n v="25"/>
  </r>
  <r>
    <n v="3296"/>
    <s v="Estela Marques"/>
    <x v="1"/>
    <x v="64"/>
    <x v="1"/>
    <n v="5"/>
    <x v="0"/>
    <x v="1"/>
    <s v="-"/>
    <s v="No"/>
    <x v="1"/>
    <n v="0"/>
    <n v="5"/>
  </r>
  <r>
    <n v="3297"/>
    <s v="Fábio Nobre"/>
    <x v="0"/>
    <x v="65"/>
    <x v="0"/>
    <n v="15"/>
    <x v="2"/>
    <x v="0"/>
    <n v="30"/>
    <s v="Yes"/>
    <x v="0"/>
    <n v="7"/>
    <n v="58"/>
  </r>
  <r>
    <n v="3298"/>
    <s v="Gabriel Oliveira"/>
    <x v="2"/>
    <x v="66"/>
    <x v="1"/>
    <n v="10"/>
    <x v="1"/>
    <x v="1"/>
    <s v="-"/>
    <s v="Yes"/>
    <x v="0"/>
    <n v="10"/>
    <n v="20"/>
  </r>
  <r>
    <n v="3299"/>
    <s v="Helena Santos"/>
    <x v="1"/>
    <x v="67"/>
    <x v="0"/>
    <n v="5"/>
    <x v="2"/>
    <x v="1"/>
    <s v="-"/>
    <s v="No"/>
    <x v="1"/>
    <n v="1"/>
    <n v="4"/>
  </r>
  <r>
    <n v="3300"/>
    <s v="Ivan Carvalho"/>
    <x v="0"/>
    <x v="68"/>
    <x v="1"/>
    <n v="15"/>
    <x v="0"/>
    <x v="0"/>
    <n v="30"/>
    <s v="Yes"/>
    <x v="0"/>
    <n v="15"/>
    <n v="50"/>
  </r>
  <r>
    <n v="3301"/>
    <s v="Júlia Ferreira"/>
    <x v="2"/>
    <x v="69"/>
    <x v="0"/>
    <n v="10"/>
    <x v="0"/>
    <x v="1"/>
    <s v="-"/>
    <s v="Yes"/>
    <x v="0"/>
    <n v="5"/>
    <n v="25"/>
  </r>
  <r>
    <n v="3302"/>
    <s v="Karla Alves"/>
    <x v="1"/>
    <x v="70"/>
    <x v="1"/>
    <n v="5"/>
    <x v="1"/>
    <x v="1"/>
    <s v="-"/>
    <s v="No"/>
    <x v="1"/>
    <n v="0"/>
    <n v="5"/>
  </r>
  <r>
    <n v="3303"/>
    <s v="Lucas Mendes"/>
    <x v="0"/>
    <x v="71"/>
    <x v="0"/>
    <n v="15"/>
    <x v="2"/>
    <x v="0"/>
    <n v="30"/>
    <s v="Yes"/>
    <x v="0"/>
    <n v="20"/>
    <n v="45"/>
  </r>
  <r>
    <n v="3304"/>
    <s v="Mônica Gomes"/>
    <x v="2"/>
    <x v="72"/>
    <x v="1"/>
    <n v="10"/>
    <x v="2"/>
    <x v="1"/>
    <s v="-"/>
    <s v="Yes"/>
    <x v="0"/>
    <n v="12"/>
    <n v="18"/>
  </r>
  <r>
    <n v="3305"/>
    <s v="Norberto Queiroz"/>
    <x v="1"/>
    <x v="73"/>
    <x v="0"/>
    <n v="5"/>
    <x v="0"/>
    <x v="1"/>
    <s v="-"/>
    <s v="No"/>
    <x v="1"/>
    <n v="2"/>
    <n v="3"/>
  </r>
  <r>
    <n v="3306"/>
    <s v="Otávio Barros"/>
    <x v="0"/>
    <x v="74"/>
    <x v="1"/>
    <n v="15"/>
    <x v="1"/>
    <x v="0"/>
    <n v="30"/>
    <s v="Yes"/>
    <x v="0"/>
    <n v="5"/>
    <n v="60"/>
  </r>
  <r>
    <n v="3307"/>
    <s v="Paula Vieira"/>
    <x v="2"/>
    <x v="75"/>
    <x v="0"/>
    <n v="10"/>
    <x v="0"/>
    <x v="1"/>
    <s v="-"/>
    <s v="Yes"/>
    <x v="0"/>
    <n v="10"/>
    <n v="20"/>
  </r>
  <r>
    <n v="3308"/>
    <s v="Quentin Ramos"/>
    <x v="1"/>
    <x v="76"/>
    <x v="1"/>
    <n v="5"/>
    <x v="2"/>
    <x v="1"/>
    <s v="-"/>
    <s v="No"/>
    <x v="1"/>
    <n v="0"/>
    <n v="5"/>
  </r>
  <r>
    <n v="3309"/>
    <s v="Raquel Novaes"/>
    <x v="0"/>
    <x v="77"/>
    <x v="0"/>
    <n v="15"/>
    <x v="0"/>
    <x v="0"/>
    <n v="30"/>
    <s v="Yes"/>
    <x v="0"/>
    <n v="3"/>
    <n v="62"/>
  </r>
  <r>
    <n v="3310"/>
    <s v="Samantha Lopes"/>
    <x v="2"/>
    <x v="78"/>
    <x v="1"/>
    <n v="10"/>
    <x v="1"/>
    <x v="1"/>
    <s v="-"/>
    <s v="Yes"/>
    <x v="0"/>
    <n v="15"/>
    <n v="15"/>
  </r>
  <r>
    <n v="3311"/>
    <s v="Tiago Martins"/>
    <x v="1"/>
    <x v="79"/>
    <x v="0"/>
    <n v="5"/>
    <x v="0"/>
    <x v="1"/>
    <s v="-"/>
    <s v="No"/>
    <x v="1"/>
    <n v="1"/>
    <n v="4"/>
  </r>
  <r>
    <n v="3312"/>
    <s v="Ulysses Guimarães"/>
    <x v="0"/>
    <x v="80"/>
    <x v="1"/>
    <n v="15"/>
    <x v="2"/>
    <x v="0"/>
    <n v="30"/>
    <s v="Yes"/>
    <x v="0"/>
    <n v="7"/>
    <n v="58"/>
  </r>
  <r>
    <n v="3313"/>
    <s v="Vanessa Silva"/>
    <x v="2"/>
    <x v="81"/>
    <x v="0"/>
    <n v="10"/>
    <x v="0"/>
    <x v="1"/>
    <s v="-"/>
    <s v="Yes"/>
    <x v="0"/>
    <n v="10"/>
    <n v="20"/>
  </r>
  <r>
    <n v="3314"/>
    <s v="William Carneiro"/>
    <x v="1"/>
    <x v="82"/>
    <x v="1"/>
    <n v="5"/>
    <x v="1"/>
    <x v="1"/>
    <s v="-"/>
    <s v="No"/>
    <x v="1"/>
    <n v="0"/>
    <n v="5"/>
  </r>
  <r>
    <n v="3315"/>
    <s v="Ximena Rocha"/>
    <x v="0"/>
    <x v="83"/>
    <x v="0"/>
    <n v="15"/>
    <x v="0"/>
    <x v="0"/>
    <n v="30"/>
    <s v="Yes"/>
    <x v="0"/>
    <n v="20"/>
    <n v="45"/>
  </r>
  <r>
    <n v="3316"/>
    <s v="Yasmin Figueiredo"/>
    <x v="2"/>
    <x v="84"/>
    <x v="1"/>
    <n v="10"/>
    <x v="2"/>
    <x v="1"/>
    <s v="-"/>
    <s v="Yes"/>
    <x v="0"/>
    <n v="15"/>
    <n v="15"/>
  </r>
  <r>
    <n v="3317"/>
    <s v="Zara Cunha"/>
    <x v="1"/>
    <x v="85"/>
    <x v="0"/>
    <n v="5"/>
    <x v="0"/>
    <x v="1"/>
    <s v="-"/>
    <s v="No"/>
    <x v="1"/>
    <n v="1"/>
    <n v="4"/>
  </r>
  <r>
    <n v="3318"/>
    <s v="Alan Teixeira"/>
    <x v="0"/>
    <x v="86"/>
    <x v="1"/>
    <n v="15"/>
    <x v="1"/>
    <x v="0"/>
    <n v="30"/>
    <s v="Yes"/>
    <x v="0"/>
    <n v="3"/>
    <n v="62"/>
  </r>
  <r>
    <n v="3319"/>
    <s v="Bárbara Oliveira"/>
    <x v="2"/>
    <x v="87"/>
    <x v="0"/>
    <n v="10"/>
    <x v="0"/>
    <x v="1"/>
    <s v="-"/>
    <s v="Yes"/>
    <x v="0"/>
    <n v="10"/>
    <n v="20"/>
  </r>
  <r>
    <n v="3320"/>
    <s v="Carlos Junqueira"/>
    <x v="1"/>
    <x v="88"/>
    <x v="1"/>
    <n v="5"/>
    <x v="2"/>
    <x v="1"/>
    <s v="-"/>
    <s v="No"/>
    <x v="1"/>
    <n v="0"/>
    <n v="5"/>
  </r>
  <r>
    <n v="3321"/>
    <s v="Daniela Moura"/>
    <x v="0"/>
    <x v="89"/>
    <x v="0"/>
    <n v="15"/>
    <x v="0"/>
    <x v="0"/>
    <n v="30"/>
    <s v="Yes"/>
    <x v="0"/>
    <n v="5"/>
    <n v="60"/>
  </r>
  <r>
    <n v="3322"/>
    <s v="Eduardo Lima"/>
    <x v="2"/>
    <x v="90"/>
    <x v="1"/>
    <n v="10"/>
    <x v="1"/>
    <x v="1"/>
    <s v="-"/>
    <s v="Yes"/>
    <x v="0"/>
    <n v="15"/>
    <n v="15"/>
  </r>
  <r>
    <n v="3323"/>
    <s v="Fabiana Araújo"/>
    <x v="1"/>
    <x v="91"/>
    <x v="0"/>
    <n v="5"/>
    <x v="0"/>
    <x v="1"/>
    <s v="-"/>
    <s v="No"/>
    <x v="1"/>
    <n v="1"/>
    <n v="4"/>
  </r>
  <r>
    <n v="3324"/>
    <s v="Geraldo Ribeiro"/>
    <x v="0"/>
    <x v="92"/>
    <x v="1"/>
    <n v="15"/>
    <x v="2"/>
    <x v="0"/>
    <n v="30"/>
    <s v="Yes"/>
    <x v="0"/>
    <n v="20"/>
    <n v="45"/>
  </r>
  <r>
    <n v="3325"/>
    <s v="Héctor Vargas"/>
    <x v="2"/>
    <x v="93"/>
    <x v="0"/>
    <n v="10"/>
    <x v="2"/>
    <x v="1"/>
    <s v="-"/>
    <s v="Yes"/>
    <x v="0"/>
    <n v="15"/>
    <n v="15"/>
  </r>
  <r>
    <n v="3326"/>
    <s v="Isabela Fonseca"/>
    <x v="1"/>
    <x v="94"/>
    <x v="1"/>
    <n v="5"/>
    <x v="1"/>
    <x v="1"/>
    <s v="-"/>
    <s v="No"/>
    <x v="1"/>
    <n v="0"/>
    <n v="5"/>
  </r>
  <r>
    <n v="3327"/>
    <s v="João Pedro Almeida"/>
    <x v="0"/>
    <x v="95"/>
    <x v="0"/>
    <n v="15"/>
    <x v="0"/>
    <x v="0"/>
    <n v="30"/>
    <s v="Yes"/>
    <x v="0"/>
    <n v="7"/>
    <n v="58"/>
  </r>
  <r>
    <n v="3328"/>
    <s v="Klara Costa"/>
    <x v="2"/>
    <x v="96"/>
    <x v="1"/>
    <n v="10"/>
    <x v="1"/>
    <x v="1"/>
    <s v="-"/>
    <s v="Yes"/>
    <x v="0"/>
    <n v="10"/>
    <n v="20"/>
  </r>
  <r>
    <n v="3329"/>
    <s v="Luciana Mendes"/>
    <x v="1"/>
    <x v="97"/>
    <x v="0"/>
    <n v="5"/>
    <x v="2"/>
    <x v="1"/>
    <s v="-"/>
    <s v="No"/>
    <x v="1"/>
    <n v="1"/>
    <n v="4"/>
  </r>
  <r>
    <n v="3330"/>
    <s v="Marcelo Gouveia"/>
    <x v="0"/>
    <x v="98"/>
    <x v="1"/>
    <n v="15"/>
    <x v="0"/>
    <x v="0"/>
    <n v="30"/>
    <s v="Yes"/>
    <x v="0"/>
    <n v="15"/>
    <n v="50"/>
  </r>
  <r>
    <n v="3331"/>
    <s v="Nívea Borges"/>
    <x v="2"/>
    <x v="99"/>
    <x v="0"/>
    <n v="10"/>
    <x v="0"/>
    <x v="1"/>
    <s v="-"/>
    <s v="Yes"/>
    <x v="0"/>
    <n v="5"/>
    <n v="25"/>
  </r>
  <r>
    <n v="3332"/>
    <s v="Oscar Nogueira"/>
    <x v="1"/>
    <x v="100"/>
    <x v="1"/>
    <n v="5"/>
    <x v="1"/>
    <x v="1"/>
    <s v="-"/>
    <s v="No"/>
    <x v="1"/>
    <n v="0"/>
    <n v="5"/>
  </r>
  <r>
    <n v="3333"/>
    <s v="Patrícia Alves"/>
    <x v="0"/>
    <x v="101"/>
    <x v="0"/>
    <n v="15"/>
    <x v="2"/>
    <x v="0"/>
    <n v="30"/>
    <s v="Yes"/>
    <x v="0"/>
    <n v="20"/>
    <n v="45"/>
  </r>
  <r>
    <n v="3334"/>
    <s v="Rafaela Silva"/>
    <x v="2"/>
    <x v="102"/>
    <x v="1"/>
    <n v="10"/>
    <x v="2"/>
    <x v="1"/>
    <s v="-"/>
    <s v="Yes"/>
    <x v="0"/>
    <n v="12"/>
    <n v="18"/>
  </r>
  <r>
    <n v="3335"/>
    <s v="Samantha Moraes"/>
    <x v="1"/>
    <x v="103"/>
    <x v="0"/>
    <n v="5"/>
    <x v="0"/>
    <x v="1"/>
    <s v="-"/>
    <s v="No"/>
    <x v="1"/>
    <n v="2"/>
    <n v="3"/>
  </r>
  <r>
    <n v="3336"/>
    <s v="Tatiana Rocha"/>
    <x v="1"/>
    <x v="104"/>
    <x v="0"/>
    <n v="5"/>
    <x v="0"/>
    <x v="1"/>
    <s v="-"/>
    <s v="No"/>
    <x v="1"/>
    <n v="0"/>
    <n v="5"/>
  </r>
  <r>
    <n v="3337"/>
    <s v="Ulisses Tavares"/>
    <x v="0"/>
    <x v="105"/>
    <x v="1"/>
    <n v="15"/>
    <x v="2"/>
    <x v="0"/>
    <n v="30"/>
    <s v="Yes"/>
    <x v="0"/>
    <n v="7"/>
    <n v="58"/>
  </r>
  <r>
    <n v="3338"/>
    <s v="Víctor Lemos"/>
    <x v="2"/>
    <x v="106"/>
    <x v="0"/>
    <n v="10"/>
    <x v="1"/>
    <x v="1"/>
    <s v="-"/>
    <s v="Yes"/>
    <x v="0"/>
    <n v="10"/>
    <n v="20"/>
  </r>
  <r>
    <n v="3339"/>
    <s v="Wilma Barros"/>
    <x v="1"/>
    <x v="107"/>
    <x v="1"/>
    <n v="5"/>
    <x v="2"/>
    <x v="1"/>
    <s v="-"/>
    <s v="No"/>
    <x v="1"/>
    <n v="1"/>
    <n v="4"/>
  </r>
  <r>
    <n v="3340"/>
    <s v="Xavier Nascimento"/>
    <x v="0"/>
    <x v="108"/>
    <x v="0"/>
    <n v="15"/>
    <x v="0"/>
    <x v="0"/>
    <n v="30"/>
    <s v="Yes"/>
    <x v="0"/>
    <n v="15"/>
    <n v="50"/>
  </r>
  <r>
    <n v="3341"/>
    <s v="Yago Pereira"/>
    <x v="2"/>
    <x v="109"/>
    <x v="1"/>
    <n v="10"/>
    <x v="0"/>
    <x v="1"/>
    <s v="-"/>
    <s v="Yes"/>
    <x v="0"/>
    <n v="5"/>
    <n v="25"/>
  </r>
  <r>
    <n v="3342"/>
    <s v="Zilda Ferreira"/>
    <x v="1"/>
    <x v="110"/>
    <x v="0"/>
    <n v="5"/>
    <x v="1"/>
    <x v="1"/>
    <s v="-"/>
    <s v="No"/>
    <x v="1"/>
    <n v="0"/>
    <n v="5"/>
  </r>
  <r>
    <n v="3343"/>
    <s v="Amanda Lopes"/>
    <x v="0"/>
    <x v="111"/>
    <x v="1"/>
    <n v="15"/>
    <x v="2"/>
    <x v="0"/>
    <n v="30"/>
    <s v="Yes"/>
    <x v="0"/>
    <n v="20"/>
    <n v="45"/>
  </r>
  <r>
    <n v="3344"/>
    <s v="Bruno Miranda"/>
    <x v="2"/>
    <x v="112"/>
    <x v="0"/>
    <n v="10"/>
    <x v="2"/>
    <x v="1"/>
    <s v="-"/>
    <s v="Yes"/>
    <x v="0"/>
    <n v="12"/>
    <n v="18"/>
  </r>
  <r>
    <n v="3345"/>
    <s v="Célia Torres"/>
    <x v="1"/>
    <x v="113"/>
    <x v="1"/>
    <n v="5"/>
    <x v="0"/>
    <x v="1"/>
    <s v="-"/>
    <s v="No"/>
    <x v="1"/>
    <n v="2"/>
    <n v="3"/>
  </r>
  <r>
    <n v="3346"/>
    <s v="Diogo Souza"/>
    <x v="0"/>
    <x v="114"/>
    <x v="0"/>
    <n v="15"/>
    <x v="1"/>
    <x v="0"/>
    <n v="30"/>
    <s v="Yes"/>
    <x v="0"/>
    <n v="5"/>
    <n v="60"/>
  </r>
  <r>
    <n v="3347"/>
    <s v="Elisa Castro"/>
    <x v="2"/>
    <x v="115"/>
    <x v="1"/>
    <n v="10"/>
    <x v="0"/>
    <x v="1"/>
    <s v="-"/>
    <s v="Yes"/>
    <x v="0"/>
    <n v="10"/>
    <n v="20"/>
  </r>
  <r>
    <n v="3348"/>
    <s v="Fátima Lima"/>
    <x v="1"/>
    <x v="116"/>
    <x v="0"/>
    <n v="5"/>
    <x v="2"/>
    <x v="1"/>
    <s v="-"/>
    <s v="No"/>
    <x v="1"/>
    <n v="0"/>
    <n v="5"/>
  </r>
  <r>
    <n v="3349"/>
    <s v="Geraldo Ribeiro"/>
    <x v="0"/>
    <x v="117"/>
    <x v="1"/>
    <n v="15"/>
    <x v="0"/>
    <x v="0"/>
    <n v="30"/>
    <s v="Yes"/>
    <x v="0"/>
    <n v="3"/>
    <n v="62"/>
  </r>
  <r>
    <n v="3350"/>
    <s v="Hélio Martins"/>
    <x v="2"/>
    <x v="118"/>
    <x v="0"/>
    <n v="10"/>
    <x v="1"/>
    <x v="1"/>
    <s v="-"/>
    <s v="Yes"/>
    <x v="0"/>
    <n v="15"/>
    <n v="15"/>
  </r>
  <r>
    <n v="3351"/>
    <s v="Íris Santos"/>
    <x v="1"/>
    <x v="119"/>
    <x v="1"/>
    <n v="5"/>
    <x v="0"/>
    <x v="1"/>
    <s v="-"/>
    <s v="No"/>
    <x v="1"/>
    <n v="1"/>
    <n v="4"/>
  </r>
  <r>
    <n v="3352"/>
    <s v="João Marcelo"/>
    <x v="0"/>
    <x v="120"/>
    <x v="0"/>
    <n v="15"/>
    <x v="2"/>
    <x v="0"/>
    <n v="30"/>
    <s v="Yes"/>
    <x v="0"/>
    <n v="7"/>
    <n v="58"/>
  </r>
  <r>
    <n v="3353"/>
    <s v="Larissa Gomes"/>
    <x v="2"/>
    <x v="121"/>
    <x v="1"/>
    <n v="10"/>
    <x v="0"/>
    <x v="1"/>
    <s v="-"/>
    <s v="Yes"/>
    <x v="0"/>
    <n v="10"/>
    <n v="20"/>
  </r>
  <r>
    <n v="3354"/>
    <s v="Márcio Silva"/>
    <x v="1"/>
    <x v="122"/>
    <x v="0"/>
    <n v="5"/>
    <x v="1"/>
    <x v="1"/>
    <s v="-"/>
    <s v="No"/>
    <x v="1"/>
    <n v="0"/>
    <n v="5"/>
  </r>
  <r>
    <n v="3355"/>
    <s v="Nadia Costa"/>
    <x v="0"/>
    <x v="123"/>
    <x v="1"/>
    <n v="15"/>
    <x v="0"/>
    <x v="0"/>
    <n v="30"/>
    <s v="Yes"/>
    <x v="0"/>
    <n v="20"/>
    <n v="45"/>
  </r>
  <r>
    <n v="3356"/>
    <s v="Oscar Almeida"/>
    <x v="2"/>
    <x v="124"/>
    <x v="0"/>
    <n v="10"/>
    <x v="2"/>
    <x v="1"/>
    <s v="-"/>
    <s v="Yes"/>
    <x v="0"/>
    <n v="15"/>
    <n v="15"/>
  </r>
  <r>
    <n v="3357"/>
    <s v="Patricia Soares"/>
    <x v="1"/>
    <x v="125"/>
    <x v="1"/>
    <n v="5"/>
    <x v="0"/>
    <x v="1"/>
    <s v="-"/>
    <s v="No"/>
    <x v="1"/>
    <n v="1"/>
    <n v="4"/>
  </r>
  <r>
    <n v="3358"/>
    <s v="Quênia Barros"/>
    <x v="0"/>
    <x v="126"/>
    <x v="0"/>
    <n v="15"/>
    <x v="1"/>
    <x v="0"/>
    <n v="30"/>
    <s v="Yes"/>
    <x v="0"/>
    <n v="3"/>
    <n v="62"/>
  </r>
  <r>
    <n v="3359"/>
    <s v="Rafael Torres"/>
    <x v="2"/>
    <x v="127"/>
    <x v="1"/>
    <n v="10"/>
    <x v="0"/>
    <x v="1"/>
    <s v="-"/>
    <s v="Yes"/>
    <x v="0"/>
    <n v="10"/>
    <n v="20"/>
  </r>
  <r>
    <n v="3360"/>
    <s v="Silvia Nascimento"/>
    <x v="1"/>
    <x v="128"/>
    <x v="0"/>
    <n v="5"/>
    <x v="2"/>
    <x v="1"/>
    <s v="-"/>
    <s v="No"/>
    <x v="1"/>
    <n v="0"/>
    <n v="5"/>
  </r>
  <r>
    <n v="3361"/>
    <s v="Tiago Mendes"/>
    <x v="0"/>
    <x v="129"/>
    <x v="1"/>
    <n v="15"/>
    <x v="0"/>
    <x v="0"/>
    <n v="30"/>
    <s v="Yes"/>
    <x v="0"/>
    <n v="15"/>
    <n v="50"/>
  </r>
  <r>
    <n v="3362"/>
    <s v="Ursula Silva"/>
    <x v="2"/>
    <x v="130"/>
    <x v="0"/>
    <n v="10"/>
    <x v="1"/>
    <x v="1"/>
    <s v="-"/>
    <s v="Yes"/>
    <x v="0"/>
    <n v="15"/>
    <n v="15"/>
  </r>
  <r>
    <n v="3363"/>
    <s v="Vanessa Moraes"/>
    <x v="1"/>
    <x v="131"/>
    <x v="1"/>
    <n v="5"/>
    <x v="0"/>
    <x v="1"/>
    <s v="-"/>
    <s v="No"/>
    <x v="1"/>
    <n v="1"/>
    <n v="4"/>
  </r>
  <r>
    <n v="3364"/>
    <s v="Waldir Junior"/>
    <x v="0"/>
    <x v="132"/>
    <x v="0"/>
    <n v="15"/>
    <x v="2"/>
    <x v="0"/>
    <n v="30"/>
    <s v="Yes"/>
    <x v="0"/>
    <n v="7"/>
    <n v="58"/>
  </r>
  <r>
    <n v="3365"/>
    <s v="Xavier Lopes"/>
    <x v="2"/>
    <x v="133"/>
    <x v="1"/>
    <n v="10"/>
    <x v="0"/>
    <x v="1"/>
    <s v="-"/>
    <s v="Yes"/>
    <x v="0"/>
    <n v="10"/>
    <n v="20"/>
  </r>
  <r>
    <n v="3366"/>
    <s v="Yolanda Freitas"/>
    <x v="1"/>
    <x v="134"/>
    <x v="0"/>
    <n v="5"/>
    <x v="0"/>
    <x v="1"/>
    <s v="-"/>
    <s v="No"/>
    <x v="1"/>
    <n v="0"/>
    <n v="5"/>
  </r>
  <r>
    <n v="3367"/>
    <s v="Zacarias Nunes"/>
    <x v="0"/>
    <x v="135"/>
    <x v="1"/>
    <n v="15"/>
    <x v="2"/>
    <x v="0"/>
    <n v="30"/>
    <s v="Yes"/>
    <x v="0"/>
    <n v="7"/>
    <n v="58"/>
  </r>
  <r>
    <n v="3368"/>
    <s v="Ana Clara Barreto"/>
    <x v="2"/>
    <x v="136"/>
    <x v="0"/>
    <n v="10"/>
    <x v="1"/>
    <x v="1"/>
    <s v="-"/>
    <s v="Yes"/>
    <x v="0"/>
    <n v="10"/>
    <n v="20"/>
  </r>
  <r>
    <n v="3369"/>
    <s v="Bruno Henrique"/>
    <x v="1"/>
    <x v="137"/>
    <x v="1"/>
    <n v="5"/>
    <x v="2"/>
    <x v="1"/>
    <s v="-"/>
    <s v="No"/>
    <x v="1"/>
    <n v="1"/>
    <n v="4"/>
  </r>
  <r>
    <n v="3370"/>
    <s v="Carlos Eduardo"/>
    <x v="0"/>
    <x v="138"/>
    <x v="0"/>
    <n v="15"/>
    <x v="0"/>
    <x v="0"/>
    <n v="30"/>
    <s v="Yes"/>
    <x v="0"/>
    <n v="15"/>
    <n v="50"/>
  </r>
  <r>
    <n v="3371"/>
    <s v="Débora Lima"/>
    <x v="2"/>
    <x v="139"/>
    <x v="1"/>
    <n v="10"/>
    <x v="0"/>
    <x v="1"/>
    <s v="-"/>
    <s v="Yes"/>
    <x v="0"/>
    <n v="5"/>
    <n v="25"/>
  </r>
  <r>
    <n v="3372"/>
    <s v="Elisa Neves"/>
    <x v="1"/>
    <x v="140"/>
    <x v="0"/>
    <n v="5"/>
    <x v="1"/>
    <x v="1"/>
    <s v="-"/>
    <s v="No"/>
    <x v="1"/>
    <n v="0"/>
    <n v="5"/>
  </r>
  <r>
    <n v="3373"/>
    <s v="Fabiano Gomes"/>
    <x v="0"/>
    <x v="141"/>
    <x v="1"/>
    <n v="15"/>
    <x v="2"/>
    <x v="0"/>
    <n v="30"/>
    <s v="Yes"/>
    <x v="0"/>
    <n v="20"/>
    <n v="45"/>
  </r>
  <r>
    <n v="3374"/>
    <s v="Gisele Oliveira"/>
    <x v="2"/>
    <x v="142"/>
    <x v="0"/>
    <n v="10"/>
    <x v="2"/>
    <x v="1"/>
    <s v="-"/>
    <s v="Yes"/>
    <x v="0"/>
    <n v="12"/>
    <n v="18"/>
  </r>
  <r>
    <n v="3375"/>
    <s v="Héctor Silva"/>
    <x v="1"/>
    <x v="143"/>
    <x v="1"/>
    <n v="5"/>
    <x v="0"/>
    <x v="1"/>
    <s v="-"/>
    <s v="No"/>
    <x v="1"/>
    <n v="2"/>
    <n v="3"/>
  </r>
  <r>
    <n v="3376"/>
    <s v="Igor Martins"/>
    <x v="0"/>
    <x v="144"/>
    <x v="0"/>
    <n v="15"/>
    <x v="1"/>
    <x v="0"/>
    <n v="30"/>
    <s v="Yes"/>
    <x v="0"/>
    <n v="5"/>
    <n v="60"/>
  </r>
  <r>
    <n v="3377"/>
    <s v="Joana Figueiredo"/>
    <x v="2"/>
    <x v="145"/>
    <x v="1"/>
    <n v="10"/>
    <x v="0"/>
    <x v="1"/>
    <s v="-"/>
    <s v="Yes"/>
    <x v="0"/>
    <n v="10"/>
    <n v="20"/>
  </r>
  <r>
    <n v="3378"/>
    <s v="Kleber Machado"/>
    <x v="1"/>
    <x v="146"/>
    <x v="0"/>
    <n v="5"/>
    <x v="2"/>
    <x v="1"/>
    <s v="-"/>
    <s v="No"/>
    <x v="1"/>
    <n v="0"/>
    <n v="5"/>
  </r>
  <r>
    <n v="3379"/>
    <s v="Luciana Santos"/>
    <x v="0"/>
    <x v="147"/>
    <x v="1"/>
    <n v="15"/>
    <x v="0"/>
    <x v="0"/>
    <n v="30"/>
    <s v="Yes"/>
    <x v="0"/>
    <n v="3"/>
    <n v="62"/>
  </r>
  <r>
    <n v="3380"/>
    <s v="Marcos Teixeira"/>
    <x v="2"/>
    <x v="148"/>
    <x v="0"/>
    <n v="10"/>
    <x v="1"/>
    <x v="1"/>
    <s v="-"/>
    <s v="Yes"/>
    <x v="0"/>
    <n v="15"/>
    <n v="15"/>
  </r>
  <r>
    <n v="3381"/>
    <s v="Natalia Costa"/>
    <x v="1"/>
    <x v="149"/>
    <x v="1"/>
    <n v="5"/>
    <x v="0"/>
    <x v="1"/>
    <s v="-"/>
    <s v="No"/>
    <x v="1"/>
    <n v="1"/>
    <n v="4"/>
  </r>
  <r>
    <n v="3382"/>
    <s v="Oscar Ribeiro"/>
    <x v="0"/>
    <x v="150"/>
    <x v="0"/>
    <n v="15"/>
    <x v="2"/>
    <x v="0"/>
    <n v="30"/>
    <s v="Yes"/>
    <x v="0"/>
    <n v="7"/>
    <n v="58"/>
  </r>
  <r>
    <n v="3383"/>
    <s v="Patricia Almeida"/>
    <x v="2"/>
    <x v="151"/>
    <x v="1"/>
    <n v="10"/>
    <x v="0"/>
    <x v="1"/>
    <s v="-"/>
    <s v="Yes"/>
    <x v="0"/>
    <n v="10"/>
    <n v="20"/>
  </r>
  <r>
    <n v="3384"/>
    <s v="Quirino Junior"/>
    <x v="1"/>
    <x v="152"/>
    <x v="0"/>
    <n v="5"/>
    <x v="1"/>
    <x v="1"/>
    <s v="-"/>
    <s v="No"/>
    <x v="1"/>
    <n v="0"/>
    <n v="5"/>
  </r>
  <r>
    <n v="3385"/>
    <s v="Renata Machado"/>
    <x v="0"/>
    <x v="153"/>
    <x v="1"/>
    <n v="15"/>
    <x v="0"/>
    <x v="0"/>
    <n v="30"/>
    <s v="Yes"/>
    <x v="0"/>
    <n v="20"/>
    <n v="45"/>
  </r>
  <r>
    <n v="3386"/>
    <s v="Sônia Alves"/>
    <x v="2"/>
    <x v="154"/>
    <x v="0"/>
    <n v="10"/>
    <x v="2"/>
    <x v="1"/>
    <s v="-"/>
    <s v="Yes"/>
    <x v="0"/>
    <n v="15"/>
    <n v="15"/>
  </r>
  <r>
    <n v="3387"/>
    <s v="Tiago Nunes"/>
    <x v="1"/>
    <x v="155"/>
    <x v="1"/>
    <n v="5"/>
    <x v="0"/>
    <x v="1"/>
    <s v="-"/>
    <s v="No"/>
    <x v="1"/>
    <n v="1"/>
    <n v="4"/>
  </r>
  <r>
    <n v="3388"/>
    <s v="Ulysses Pereira"/>
    <x v="0"/>
    <x v="156"/>
    <x v="0"/>
    <n v="15"/>
    <x v="1"/>
    <x v="0"/>
    <n v="30"/>
    <s v="Yes"/>
    <x v="0"/>
    <n v="3"/>
    <n v="62"/>
  </r>
  <r>
    <n v="3389"/>
    <s v="Vanessa Lima"/>
    <x v="2"/>
    <x v="157"/>
    <x v="1"/>
    <n v="10"/>
    <x v="0"/>
    <x v="1"/>
    <s v="-"/>
    <s v="Yes"/>
    <x v="0"/>
    <n v="10"/>
    <n v="20"/>
  </r>
  <r>
    <n v="3390"/>
    <s v="Wagner Santos"/>
    <x v="1"/>
    <x v="158"/>
    <x v="0"/>
    <n v="5"/>
    <x v="2"/>
    <x v="1"/>
    <s v="-"/>
    <s v="No"/>
    <x v="1"/>
    <n v="0"/>
    <n v="5"/>
  </r>
  <r>
    <n v="3391"/>
    <s v="Xuxa Meneghel"/>
    <x v="0"/>
    <x v="159"/>
    <x v="1"/>
    <n v="15"/>
    <x v="0"/>
    <x v="0"/>
    <n v="30"/>
    <s v="Yes"/>
    <x v="0"/>
    <n v="15"/>
    <n v="50"/>
  </r>
  <r>
    <n v="3392"/>
    <s v="Yasmin Silva"/>
    <x v="2"/>
    <x v="160"/>
    <x v="0"/>
    <n v="10"/>
    <x v="1"/>
    <x v="1"/>
    <s v="-"/>
    <s v="Yes"/>
    <x v="0"/>
    <n v="15"/>
    <n v="15"/>
  </r>
  <r>
    <n v="3393"/>
    <s v="Zacarias de Souza"/>
    <x v="1"/>
    <x v="161"/>
    <x v="1"/>
    <n v="5"/>
    <x v="0"/>
    <x v="1"/>
    <s v="-"/>
    <s v="No"/>
    <x v="1"/>
    <n v="1"/>
    <n v="4"/>
  </r>
  <r>
    <n v="3394"/>
    <s v="André Lima"/>
    <x v="0"/>
    <x v="162"/>
    <x v="0"/>
    <n v="15"/>
    <x v="2"/>
    <x v="0"/>
    <n v="30"/>
    <s v="Yes"/>
    <x v="0"/>
    <n v="7"/>
    <n v="58"/>
  </r>
  <r>
    <n v="3395"/>
    <s v="Bianca Freitas"/>
    <x v="2"/>
    <x v="163"/>
    <x v="1"/>
    <n v="10"/>
    <x v="0"/>
    <x v="1"/>
    <s v="-"/>
    <s v="Yes"/>
    <x v="0"/>
    <n v="10"/>
    <n v="20"/>
  </r>
  <r>
    <n v="3396"/>
    <s v="Caio Mendes"/>
    <x v="1"/>
    <x v="164"/>
    <x v="0"/>
    <n v="5"/>
    <x v="1"/>
    <x v="1"/>
    <s v="-"/>
    <s v="No"/>
    <x v="1"/>
    <n v="0"/>
    <n v="5"/>
  </r>
  <r>
    <n v="3397"/>
    <s v="Daniela Moura"/>
    <x v="0"/>
    <x v="165"/>
    <x v="1"/>
    <n v="15"/>
    <x v="0"/>
    <x v="0"/>
    <n v="30"/>
    <s v="Yes"/>
    <x v="0"/>
    <n v="20"/>
    <n v="45"/>
  </r>
  <r>
    <n v="3398"/>
    <s v="Eduardo Costa"/>
    <x v="2"/>
    <x v="166"/>
    <x v="0"/>
    <n v="10"/>
    <x v="2"/>
    <x v="1"/>
    <s v="-"/>
    <s v="Yes"/>
    <x v="0"/>
    <n v="15"/>
    <n v="15"/>
  </r>
  <r>
    <n v="3399"/>
    <s v="Fernanda Gomes"/>
    <x v="1"/>
    <x v="167"/>
    <x v="1"/>
    <n v="5"/>
    <x v="0"/>
    <x v="1"/>
    <s v="-"/>
    <s v="No"/>
    <x v="1"/>
    <n v="1"/>
    <n v="4"/>
  </r>
  <r>
    <n v="3400"/>
    <s v="Guilherme Souza"/>
    <x v="0"/>
    <x v="168"/>
    <x v="0"/>
    <n v="15"/>
    <x v="1"/>
    <x v="0"/>
    <n v="30"/>
    <s v="Yes"/>
    <x v="0"/>
    <n v="5"/>
    <n v="60"/>
  </r>
  <r>
    <n v="3401"/>
    <s v="Helena Ribeiro"/>
    <x v="2"/>
    <x v="169"/>
    <x v="1"/>
    <n v="10"/>
    <x v="0"/>
    <x v="1"/>
    <s v="-"/>
    <s v="Yes"/>
    <x v="0"/>
    <n v="10"/>
    <n v="20"/>
  </r>
  <r>
    <n v="3402"/>
    <s v="Igor Santos"/>
    <x v="1"/>
    <x v="170"/>
    <x v="0"/>
    <n v="5"/>
    <x v="2"/>
    <x v="1"/>
    <s v="-"/>
    <s v="No"/>
    <x v="1"/>
    <n v="0"/>
    <n v="5"/>
  </r>
  <r>
    <n v="3403"/>
    <s v="João Carvalho"/>
    <x v="0"/>
    <x v="171"/>
    <x v="1"/>
    <n v="15"/>
    <x v="0"/>
    <x v="0"/>
    <n v="30"/>
    <s v="Yes"/>
    <x v="0"/>
    <n v="3"/>
    <n v="62"/>
  </r>
  <r>
    <n v="3404"/>
    <s v="Klara Fagundes"/>
    <x v="2"/>
    <x v="172"/>
    <x v="0"/>
    <n v="10"/>
    <x v="1"/>
    <x v="1"/>
    <s v="-"/>
    <s v="Yes"/>
    <x v="0"/>
    <n v="15"/>
    <n v="15"/>
  </r>
  <r>
    <n v="3405"/>
    <s v="Lúcia Mendonça"/>
    <x v="1"/>
    <x v="173"/>
    <x v="1"/>
    <n v="5"/>
    <x v="0"/>
    <x v="1"/>
    <s v="-"/>
    <s v="No"/>
    <x v="1"/>
    <n v="1"/>
    <n v="4"/>
  </r>
  <r>
    <n v="3406"/>
    <s v="Marcelo Novaes"/>
    <x v="1"/>
    <x v="174"/>
    <x v="0"/>
    <n v="5"/>
    <x v="0"/>
    <x v="1"/>
    <s v="-"/>
    <s v="No"/>
    <x v="1"/>
    <n v="0"/>
    <n v="5"/>
  </r>
  <r>
    <n v="3407"/>
    <s v="Nina Pacheco"/>
    <x v="0"/>
    <x v="175"/>
    <x v="1"/>
    <n v="15"/>
    <x v="2"/>
    <x v="0"/>
    <n v="30"/>
    <s v="Yes"/>
    <x v="0"/>
    <n v="7"/>
    <n v="58"/>
  </r>
  <r>
    <n v="3408"/>
    <s v="Olívia Rios"/>
    <x v="2"/>
    <x v="176"/>
    <x v="0"/>
    <n v="10"/>
    <x v="1"/>
    <x v="1"/>
    <s v="-"/>
    <s v="Yes"/>
    <x v="0"/>
    <n v="10"/>
    <n v="20"/>
  </r>
  <r>
    <n v="3409"/>
    <s v="Paulo Quintana"/>
    <x v="1"/>
    <x v="177"/>
    <x v="1"/>
    <n v="5"/>
    <x v="2"/>
    <x v="1"/>
    <s v="-"/>
    <s v="No"/>
    <x v="1"/>
    <n v="1"/>
    <n v="4"/>
  </r>
  <r>
    <n v="3410"/>
    <s v="Raquel Domingos"/>
    <x v="0"/>
    <x v="178"/>
    <x v="0"/>
    <n v="15"/>
    <x v="0"/>
    <x v="0"/>
    <n v="30"/>
    <s v="Yes"/>
    <x v="0"/>
    <n v="15"/>
    <n v="50"/>
  </r>
  <r>
    <n v="3411"/>
    <s v="Samuel Viana"/>
    <x v="2"/>
    <x v="179"/>
    <x v="1"/>
    <n v="10"/>
    <x v="0"/>
    <x v="1"/>
    <s v="-"/>
    <s v="Yes"/>
    <x v="0"/>
    <n v="5"/>
    <n v="25"/>
  </r>
  <r>
    <n v="3412"/>
    <s v="Tatiane Rocha"/>
    <x v="1"/>
    <x v="180"/>
    <x v="0"/>
    <n v="5"/>
    <x v="1"/>
    <x v="1"/>
    <s v="-"/>
    <s v="No"/>
    <x v="1"/>
    <n v="0"/>
    <n v="5"/>
  </r>
  <r>
    <n v="3413"/>
    <s v="Ulysses Farias"/>
    <x v="0"/>
    <x v="181"/>
    <x v="1"/>
    <n v="15"/>
    <x v="2"/>
    <x v="0"/>
    <n v="30"/>
    <s v="Yes"/>
    <x v="0"/>
    <n v="20"/>
    <n v="45"/>
  </r>
  <r>
    <n v="3414"/>
    <s v="Vanessa Moreira"/>
    <x v="2"/>
    <x v="182"/>
    <x v="0"/>
    <n v="10"/>
    <x v="2"/>
    <x v="1"/>
    <s v="-"/>
    <s v="Yes"/>
    <x v="0"/>
    <n v="12"/>
    <n v="18"/>
  </r>
  <r>
    <n v="3415"/>
    <s v="William Carvalho"/>
    <x v="1"/>
    <x v="183"/>
    <x v="1"/>
    <n v="5"/>
    <x v="0"/>
    <x v="1"/>
    <s v="-"/>
    <s v="No"/>
    <x v="1"/>
    <n v="2"/>
    <n v="3"/>
  </r>
  <r>
    <n v="3416"/>
    <s v="Ximena Barros"/>
    <x v="0"/>
    <x v="184"/>
    <x v="0"/>
    <n v="15"/>
    <x v="1"/>
    <x v="0"/>
    <n v="30"/>
    <s v="Yes"/>
    <x v="0"/>
    <n v="5"/>
    <n v="60"/>
  </r>
  <r>
    <n v="3417"/>
    <s v="Yara Machado"/>
    <x v="2"/>
    <x v="185"/>
    <x v="1"/>
    <n v="10"/>
    <x v="0"/>
    <x v="1"/>
    <s v="-"/>
    <s v="Yes"/>
    <x v="0"/>
    <n v="10"/>
    <n v="20"/>
  </r>
  <r>
    <n v="3418"/>
    <s v="Zacarias Costa"/>
    <x v="1"/>
    <x v="186"/>
    <x v="0"/>
    <n v="5"/>
    <x v="2"/>
    <x v="1"/>
    <s v="-"/>
    <s v="No"/>
    <x v="1"/>
    <n v="0"/>
    <n v="5"/>
  </r>
  <r>
    <n v="3419"/>
    <s v="André Lopes"/>
    <x v="0"/>
    <x v="187"/>
    <x v="1"/>
    <n v="15"/>
    <x v="0"/>
    <x v="0"/>
    <n v="30"/>
    <s v="Yes"/>
    <x v="0"/>
    <n v="3"/>
    <n v="62"/>
  </r>
  <r>
    <n v="3420"/>
    <s v="Beatriz Souza"/>
    <x v="2"/>
    <x v="188"/>
    <x v="0"/>
    <n v="10"/>
    <x v="1"/>
    <x v="1"/>
    <s v="-"/>
    <s v="Yes"/>
    <x v="0"/>
    <n v="15"/>
    <n v="15"/>
  </r>
  <r>
    <n v="3421"/>
    <s v="Caio Pereira"/>
    <x v="1"/>
    <x v="189"/>
    <x v="1"/>
    <n v="5"/>
    <x v="0"/>
    <x v="1"/>
    <s v="-"/>
    <s v="No"/>
    <x v="1"/>
    <n v="1"/>
    <n v="4"/>
  </r>
  <r>
    <n v="3422"/>
    <s v="Daniela Araújo"/>
    <x v="0"/>
    <x v="190"/>
    <x v="0"/>
    <n v="15"/>
    <x v="2"/>
    <x v="0"/>
    <n v="30"/>
    <s v="Yes"/>
    <x v="0"/>
    <n v="7"/>
    <n v="58"/>
  </r>
  <r>
    <n v="3423"/>
    <s v="Eduardo Santos"/>
    <x v="2"/>
    <x v="191"/>
    <x v="1"/>
    <n v="10"/>
    <x v="0"/>
    <x v="1"/>
    <s v="-"/>
    <s v="Yes"/>
    <x v="0"/>
    <n v="10"/>
    <n v="20"/>
  </r>
  <r>
    <n v="3424"/>
    <s v="Fernanda Lima"/>
    <x v="1"/>
    <x v="192"/>
    <x v="0"/>
    <n v="5"/>
    <x v="1"/>
    <x v="1"/>
    <s v="-"/>
    <s v="No"/>
    <x v="1"/>
    <n v="0"/>
    <n v="5"/>
  </r>
  <r>
    <n v="3425"/>
    <s v="Gabriel Teixeira"/>
    <x v="0"/>
    <x v="193"/>
    <x v="1"/>
    <n v="15"/>
    <x v="0"/>
    <x v="0"/>
    <n v="30"/>
    <s v="Yes"/>
    <x v="0"/>
    <n v="20"/>
    <n v="45"/>
  </r>
  <r>
    <n v="3426"/>
    <s v="Helena Ribeiro"/>
    <x v="2"/>
    <x v="194"/>
    <x v="0"/>
    <n v="10"/>
    <x v="2"/>
    <x v="1"/>
    <s v="-"/>
    <s v="Yes"/>
    <x v="0"/>
    <n v="15"/>
    <n v="15"/>
  </r>
  <r>
    <n v="3427"/>
    <s v="Igor Mendes"/>
    <x v="1"/>
    <x v="195"/>
    <x v="1"/>
    <n v="5"/>
    <x v="0"/>
    <x v="1"/>
    <s v="-"/>
    <s v="No"/>
    <x v="1"/>
    <n v="1"/>
    <n v="4"/>
  </r>
  <r>
    <n v="3428"/>
    <s v="Joana Silveira"/>
    <x v="0"/>
    <x v="196"/>
    <x v="0"/>
    <n v="15"/>
    <x v="1"/>
    <x v="0"/>
    <n v="30"/>
    <s v="Yes"/>
    <x v="0"/>
    <n v="3"/>
    <n v="62"/>
  </r>
  <r>
    <n v="3429"/>
    <s v="Lucas Martins"/>
    <x v="2"/>
    <x v="197"/>
    <x v="1"/>
    <n v="10"/>
    <x v="0"/>
    <x v="1"/>
    <s v="-"/>
    <s v="Yes"/>
    <x v="0"/>
    <n v="10"/>
    <n v="20"/>
  </r>
  <r>
    <n v="3430"/>
    <s v="Marcela Gouveia"/>
    <x v="1"/>
    <x v="198"/>
    <x v="0"/>
    <n v="5"/>
    <x v="2"/>
    <x v="1"/>
    <s v="-"/>
    <s v="No"/>
    <x v="1"/>
    <n v="0"/>
    <n v="5"/>
  </r>
  <r>
    <n v="3431"/>
    <s v="Nicolas Borges"/>
    <x v="0"/>
    <x v="199"/>
    <x v="1"/>
    <n v="15"/>
    <x v="0"/>
    <x v="0"/>
    <n v="30"/>
    <s v="Yes"/>
    <x v="0"/>
    <n v="15"/>
    <n v="50"/>
  </r>
  <r>
    <n v="3432"/>
    <s v="Olivia Freitas"/>
    <x v="2"/>
    <x v="200"/>
    <x v="0"/>
    <n v="10"/>
    <x v="1"/>
    <x v="1"/>
    <s v="-"/>
    <s v="Yes"/>
    <x v="0"/>
    <n v="15"/>
    <n v="15"/>
  </r>
  <r>
    <n v="3433"/>
    <s v="Paulo Nogueira"/>
    <x v="1"/>
    <x v="201"/>
    <x v="1"/>
    <n v="5"/>
    <x v="0"/>
    <x v="1"/>
    <s v="-"/>
    <s v="No"/>
    <x v="1"/>
    <n v="1"/>
    <n v="4"/>
  </r>
  <r>
    <n v="3434"/>
    <s v="Raquel Andrade"/>
    <x v="0"/>
    <x v="202"/>
    <x v="0"/>
    <n v="15"/>
    <x v="2"/>
    <x v="0"/>
    <n v="30"/>
    <s v="Yes"/>
    <x v="0"/>
    <n v="7"/>
    <n v="58"/>
  </r>
  <r>
    <n v="3435"/>
    <s v="Sônia Carvalho"/>
    <x v="2"/>
    <x v="203"/>
    <x v="1"/>
    <n v="10"/>
    <x v="0"/>
    <x v="1"/>
    <s v="-"/>
    <s v="Yes"/>
    <x v="0"/>
    <n v="10"/>
    <n v="20"/>
  </r>
  <r>
    <n v="3436"/>
    <s v="Tiago Rodrigues"/>
    <x v="1"/>
    <x v="204"/>
    <x v="0"/>
    <n v="5"/>
    <x v="0"/>
    <x v="1"/>
    <s v="-"/>
    <s v="No"/>
    <x v="1"/>
    <n v="0"/>
    <n v="5"/>
  </r>
  <r>
    <n v="3437"/>
    <s v="Ursula Monteiro"/>
    <x v="0"/>
    <x v="205"/>
    <x v="1"/>
    <n v="15"/>
    <x v="2"/>
    <x v="0"/>
    <n v="30"/>
    <s v="Yes"/>
    <x v="0"/>
    <n v="7"/>
    <n v="58"/>
  </r>
  <r>
    <n v="3438"/>
    <s v="Vanessa Pereira"/>
    <x v="2"/>
    <x v="206"/>
    <x v="0"/>
    <n v="10"/>
    <x v="1"/>
    <x v="1"/>
    <s v="-"/>
    <s v="Yes"/>
    <x v="0"/>
    <n v="10"/>
    <n v="20"/>
  </r>
  <r>
    <n v="3439"/>
    <s v="Walter Silva"/>
    <x v="1"/>
    <x v="207"/>
    <x v="1"/>
    <n v="5"/>
    <x v="2"/>
    <x v="1"/>
    <s v="-"/>
    <s v="No"/>
    <x v="1"/>
    <n v="1"/>
    <n v="4"/>
  </r>
  <r>
    <n v="3440"/>
    <s v="Xavier Almeida"/>
    <x v="0"/>
    <x v="208"/>
    <x v="0"/>
    <n v="15"/>
    <x v="0"/>
    <x v="0"/>
    <n v="30"/>
    <s v="Yes"/>
    <x v="0"/>
    <n v="15"/>
    <n v="50"/>
  </r>
  <r>
    <n v="3441"/>
    <s v="Yasmine Correia"/>
    <x v="2"/>
    <x v="209"/>
    <x v="1"/>
    <n v="10"/>
    <x v="0"/>
    <x v="1"/>
    <s v="-"/>
    <s v="Yes"/>
    <x v="0"/>
    <n v="5"/>
    <n v="25"/>
  </r>
  <r>
    <n v="3442"/>
    <s v="Zacarias Almeida"/>
    <x v="1"/>
    <x v="210"/>
    <x v="0"/>
    <n v="5"/>
    <x v="1"/>
    <x v="1"/>
    <s v="-"/>
    <s v="No"/>
    <x v="1"/>
    <n v="0"/>
    <n v="5"/>
  </r>
  <r>
    <n v="3443"/>
    <s v="Amanda Costa"/>
    <x v="0"/>
    <x v="211"/>
    <x v="1"/>
    <n v="15"/>
    <x v="2"/>
    <x v="0"/>
    <n v="30"/>
    <s v="Yes"/>
    <x v="0"/>
    <n v="20"/>
    <n v="45"/>
  </r>
  <r>
    <n v="3444"/>
    <s v="Bruno Ferreira"/>
    <x v="2"/>
    <x v="212"/>
    <x v="0"/>
    <n v="10"/>
    <x v="2"/>
    <x v="1"/>
    <s v="-"/>
    <s v="Yes"/>
    <x v="0"/>
    <n v="12"/>
    <n v="18"/>
  </r>
  <r>
    <n v="3445"/>
    <s v="Carla Dias"/>
    <x v="1"/>
    <x v="213"/>
    <x v="1"/>
    <n v="5"/>
    <x v="0"/>
    <x v="1"/>
    <s v="-"/>
    <s v="No"/>
    <x v="1"/>
    <n v="2"/>
    <n v="3"/>
  </r>
  <r>
    <n v="3446"/>
    <s v="Diogo Martins"/>
    <x v="0"/>
    <x v="214"/>
    <x v="0"/>
    <n v="15"/>
    <x v="1"/>
    <x v="0"/>
    <n v="30"/>
    <s v="Yes"/>
    <x v="0"/>
    <n v="5"/>
    <n v="60"/>
  </r>
  <r>
    <n v="3447"/>
    <s v="Elisa Campos"/>
    <x v="2"/>
    <x v="215"/>
    <x v="1"/>
    <n v="10"/>
    <x v="0"/>
    <x v="1"/>
    <s v="-"/>
    <s v="Yes"/>
    <x v="0"/>
    <n v="10"/>
    <n v="20"/>
  </r>
  <r>
    <n v="3448"/>
    <s v="Fabiana Lima"/>
    <x v="1"/>
    <x v="216"/>
    <x v="0"/>
    <n v="5"/>
    <x v="2"/>
    <x v="1"/>
    <s v="-"/>
    <s v="No"/>
    <x v="1"/>
    <n v="0"/>
    <n v="5"/>
  </r>
  <r>
    <n v="3449"/>
    <s v="Gabriel Santos"/>
    <x v="0"/>
    <x v="217"/>
    <x v="1"/>
    <n v="15"/>
    <x v="0"/>
    <x v="0"/>
    <n v="30"/>
    <s v="Yes"/>
    <x v="0"/>
    <n v="3"/>
    <n v="62"/>
  </r>
  <r>
    <n v="3450"/>
    <s v="Helena Ferreira"/>
    <x v="2"/>
    <x v="218"/>
    <x v="0"/>
    <n v="10"/>
    <x v="1"/>
    <x v="1"/>
    <s v="-"/>
    <s v="Yes"/>
    <x v="0"/>
    <n v="15"/>
    <n v="15"/>
  </r>
  <r>
    <n v="3451"/>
    <s v="Ígor Nunes"/>
    <x v="1"/>
    <x v="219"/>
    <x v="1"/>
    <n v="5"/>
    <x v="0"/>
    <x v="1"/>
    <s v="-"/>
    <s v="No"/>
    <x v="1"/>
    <n v="1"/>
    <n v="4"/>
  </r>
  <r>
    <n v="3452"/>
    <s v="Joana Silveira"/>
    <x v="0"/>
    <x v="220"/>
    <x v="0"/>
    <n v="15"/>
    <x v="2"/>
    <x v="0"/>
    <n v="30"/>
    <s v="Yes"/>
    <x v="0"/>
    <n v="7"/>
    <n v="58"/>
  </r>
  <r>
    <n v="3453"/>
    <s v="Kléber Oliveira"/>
    <x v="2"/>
    <x v="221"/>
    <x v="1"/>
    <n v="10"/>
    <x v="0"/>
    <x v="1"/>
    <s v="-"/>
    <s v="Yes"/>
    <x v="0"/>
    <n v="10"/>
    <n v="20"/>
  </r>
  <r>
    <n v="3454"/>
    <s v="Luciana Morais"/>
    <x v="1"/>
    <x v="222"/>
    <x v="0"/>
    <n v="5"/>
    <x v="1"/>
    <x v="1"/>
    <s v="-"/>
    <s v="No"/>
    <x v="1"/>
    <n v="0"/>
    <n v="5"/>
  </r>
  <r>
    <n v="3455"/>
    <s v="Marcos Vinícius"/>
    <x v="0"/>
    <x v="223"/>
    <x v="1"/>
    <n v="15"/>
    <x v="0"/>
    <x v="0"/>
    <n v="30"/>
    <s v="Yes"/>
    <x v="0"/>
    <n v="20"/>
    <n v="45"/>
  </r>
  <r>
    <n v="3456"/>
    <s v="Natália Barros"/>
    <x v="2"/>
    <x v="224"/>
    <x v="0"/>
    <n v="10"/>
    <x v="2"/>
    <x v="1"/>
    <s v="-"/>
    <s v="Yes"/>
    <x v="0"/>
    <n v="15"/>
    <n v="15"/>
  </r>
  <r>
    <n v="3457"/>
    <s v="Oscar Sampaio"/>
    <x v="1"/>
    <x v="225"/>
    <x v="1"/>
    <n v="5"/>
    <x v="0"/>
    <x v="1"/>
    <s v="-"/>
    <s v="No"/>
    <x v="1"/>
    <n v="1"/>
    <n v="4"/>
  </r>
  <r>
    <n v="3458"/>
    <s v="Patrícia Leite"/>
    <x v="0"/>
    <x v="226"/>
    <x v="0"/>
    <n v="15"/>
    <x v="1"/>
    <x v="0"/>
    <n v="30"/>
    <s v="Yes"/>
    <x v="0"/>
    <n v="3"/>
    <n v="62"/>
  </r>
  <r>
    <n v="3459"/>
    <s v="Quênia Rocha"/>
    <x v="2"/>
    <x v="227"/>
    <x v="1"/>
    <n v="10"/>
    <x v="0"/>
    <x v="1"/>
    <s v="-"/>
    <s v="Yes"/>
    <x v="0"/>
    <n v="10"/>
    <n v="20"/>
  </r>
  <r>
    <n v="3460"/>
    <s v="Rafael Torres"/>
    <x v="1"/>
    <x v="228"/>
    <x v="0"/>
    <n v="5"/>
    <x v="2"/>
    <x v="1"/>
    <s v="-"/>
    <s v="No"/>
    <x v="1"/>
    <n v="0"/>
    <n v="5"/>
  </r>
  <r>
    <n v="3461"/>
    <s v="Sandra Gouveia"/>
    <x v="0"/>
    <x v="229"/>
    <x v="1"/>
    <n v="15"/>
    <x v="0"/>
    <x v="0"/>
    <n v="30"/>
    <s v="Yes"/>
    <x v="0"/>
    <n v="15"/>
    <n v="50"/>
  </r>
  <r>
    <n v="3462"/>
    <s v="Tiago Lacerda"/>
    <x v="2"/>
    <x v="230"/>
    <x v="0"/>
    <n v="10"/>
    <x v="1"/>
    <x v="1"/>
    <s v="-"/>
    <s v="Yes"/>
    <x v="0"/>
    <n v="15"/>
    <n v="15"/>
  </r>
  <r>
    <n v="3463"/>
    <s v="Ursula Fonseca"/>
    <x v="1"/>
    <x v="231"/>
    <x v="1"/>
    <n v="5"/>
    <x v="0"/>
    <x v="1"/>
    <s v="-"/>
    <s v="No"/>
    <x v="1"/>
    <n v="1"/>
    <n v="4"/>
  </r>
  <r>
    <n v="3464"/>
    <s v="Vanessa Andrade"/>
    <x v="0"/>
    <x v="232"/>
    <x v="0"/>
    <n v="15"/>
    <x v="2"/>
    <x v="0"/>
    <n v="30"/>
    <s v="Yes"/>
    <x v="0"/>
    <n v="7"/>
    <n v="58"/>
  </r>
  <r>
    <n v="3465"/>
    <s v="William Castro"/>
    <x v="2"/>
    <x v="233"/>
    <x v="1"/>
    <n v="10"/>
    <x v="0"/>
    <x v="1"/>
    <s v="-"/>
    <s v="Yes"/>
    <x v="0"/>
    <n v="10"/>
    <n v="20"/>
  </r>
  <r>
    <n v="3466"/>
    <s v="Xavier Monteiro"/>
    <x v="1"/>
    <x v="234"/>
    <x v="0"/>
    <n v="5"/>
    <x v="1"/>
    <x v="1"/>
    <s v="-"/>
    <s v="No"/>
    <x v="1"/>
    <n v="0"/>
    <n v="5"/>
  </r>
  <r>
    <n v="3467"/>
    <s v="Yasmin Figueira"/>
    <x v="0"/>
    <x v="235"/>
    <x v="1"/>
    <n v="15"/>
    <x v="0"/>
    <x v="0"/>
    <n v="30"/>
    <s v="Yes"/>
    <x v="0"/>
    <n v="15"/>
    <n v="50"/>
  </r>
  <r>
    <n v="3468"/>
    <s v="Zacarias Mendonça"/>
    <x v="2"/>
    <x v="236"/>
    <x v="0"/>
    <n v="10"/>
    <x v="2"/>
    <x v="1"/>
    <s v="-"/>
    <s v="Yes"/>
    <x v="0"/>
    <n v="12"/>
    <n v="18"/>
  </r>
  <r>
    <n v="3469"/>
    <s v="Amanda Menezes"/>
    <x v="1"/>
    <x v="237"/>
    <x v="1"/>
    <n v="5"/>
    <x v="0"/>
    <x v="1"/>
    <s v="-"/>
    <s v="No"/>
    <x v="1"/>
    <n v="2"/>
    <n v="3"/>
  </r>
  <r>
    <n v="3470"/>
    <s v="Bruno Santos"/>
    <x v="0"/>
    <x v="238"/>
    <x v="0"/>
    <n v="15"/>
    <x v="1"/>
    <x v="0"/>
    <n v="30"/>
    <s v="Yes"/>
    <x v="0"/>
    <n v="5"/>
    <n v="60"/>
  </r>
  <r>
    <n v="3471"/>
    <s v="Carla Ferreira"/>
    <x v="2"/>
    <x v="239"/>
    <x v="1"/>
    <n v="10"/>
    <x v="0"/>
    <x v="1"/>
    <s v="-"/>
    <s v="Yes"/>
    <x v="0"/>
    <n v="10"/>
    <n v="20"/>
  </r>
  <r>
    <n v="3472"/>
    <s v="Diogo Alves"/>
    <x v="1"/>
    <x v="240"/>
    <x v="0"/>
    <n v="5"/>
    <x v="2"/>
    <x v="1"/>
    <s v="-"/>
    <s v="No"/>
    <x v="1"/>
    <n v="0"/>
    <n v="5"/>
  </r>
  <r>
    <n v="3473"/>
    <s v="Elisa Neves"/>
    <x v="0"/>
    <x v="241"/>
    <x v="1"/>
    <n v="15"/>
    <x v="0"/>
    <x v="0"/>
    <n v="30"/>
    <s v="Yes"/>
    <x v="0"/>
    <n v="3"/>
    <n v="62"/>
  </r>
  <r>
    <n v="3474"/>
    <s v="Fabiano Pires"/>
    <x v="2"/>
    <x v="242"/>
    <x v="0"/>
    <n v="10"/>
    <x v="1"/>
    <x v="1"/>
    <s v="-"/>
    <s v="Yes"/>
    <x v="0"/>
    <n v="15"/>
    <n v="15"/>
  </r>
  <r>
    <n v="3475"/>
    <s v="Giovana Ribeiro"/>
    <x v="1"/>
    <x v="243"/>
    <x v="1"/>
    <n v="5"/>
    <x v="0"/>
    <x v="1"/>
    <s v="-"/>
    <s v="No"/>
    <x v="1"/>
    <n v="1"/>
    <n v="4"/>
  </r>
  <r>
    <n v="3476"/>
    <s v="Hélio Costa"/>
    <x v="0"/>
    <x v="244"/>
    <x v="0"/>
    <n v="15"/>
    <x v="2"/>
    <x v="0"/>
    <n v="30"/>
    <s v="Yes"/>
    <x v="0"/>
    <n v="7"/>
    <n v="58"/>
  </r>
  <r>
    <n v="3477"/>
    <s v="Íris Loureiro"/>
    <x v="2"/>
    <x v="245"/>
    <x v="1"/>
    <n v="10"/>
    <x v="0"/>
    <x v="1"/>
    <s v="-"/>
    <s v="Yes"/>
    <x v="0"/>
    <n v="10"/>
    <n v="20"/>
  </r>
  <r>
    <n v="3478"/>
    <s v="João Pereira"/>
    <x v="1"/>
    <x v="246"/>
    <x v="0"/>
    <n v="5"/>
    <x v="1"/>
    <x v="1"/>
    <s v="-"/>
    <s v="No"/>
    <x v="1"/>
    <n v="0"/>
    <n v="5"/>
  </r>
  <r>
    <n v="3479"/>
    <s v="Klara Silva"/>
    <x v="0"/>
    <x v="247"/>
    <x v="1"/>
    <n v="15"/>
    <x v="0"/>
    <x v="0"/>
    <n v="30"/>
    <s v="Yes"/>
    <x v="0"/>
    <n v="20"/>
    <n v="45"/>
  </r>
  <r>
    <n v="3480"/>
    <s v="Luciana Barros"/>
    <x v="2"/>
    <x v="248"/>
    <x v="0"/>
    <n v="10"/>
    <x v="2"/>
    <x v="1"/>
    <s v="-"/>
    <s v="Yes"/>
    <x v="0"/>
    <n v="15"/>
    <n v="15"/>
  </r>
  <r>
    <n v="3481"/>
    <s v="Marcos Gomes"/>
    <x v="1"/>
    <x v="249"/>
    <x v="1"/>
    <n v="5"/>
    <x v="0"/>
    <x v="1"/>
    <s v="-"/>
    <s v="No"/>
    <x v="1"/>
    <n v="1"/>
    <n v="4"/>
  </r>
  <r>
    <n v="3482"/>
    <s v="Natália Soares"/>
    <x v="0"/>
    <x v="250"/>
    <x v="0"/>
    <n v="15"/>
    <x v="1"/>
    <x v="0"/>
    <n v="30"/>
    <s v="Yes"/>
    <x v="0"/>
    <n v="3"/>
    <n v="62"/>
  </r>
  <r>
    <n v="3483"/>
    <s v="Oscar Machado"/>
    <x v="2"/>
    <x v="251"/>
    <x v="1"/>
    <n v="10"/>
    <x v="0"/>
    <x v="1"/>
    <s v="-"/>
    <s v="Yes"/>
    <x v="0"/>
    <n v="10"/>
    <n v="20"/>
  </r>
  <r>
    <n v="3484"/>
    <s v="Patrícia Lima"/>
    <x v="1"/>
    <x v="252"/>
    <x v="0"/>
    <n v="5"/>
    <x v="2"/>
    <x v="1"/>
    <s v="-"/>
    <s v="No"/>
    <x v="1"/>
    <n v="0"/>
    <n v="5"/>
  </r>
  <r>
    <n v="3485"/>
    <s v="Quirino Neto"/>
    <x v="0"/>
    <x v="253"/>
    <x v="1"/>
    <n v="15"/>
    <x v="0"/>
    <x v="0"/>
    <n v="30"/>
    <s v="Yes"/>
    <x v="0"/>
    <n v="15"/>
    <n v="50"/>
  </r>
  <r>
    <n v="3486"/>
    <s v="Rafaela Souza"/>
    <x v="1"/>
    <x v="254"/>
    <x v="0"/>
    <n v="5"/>
    <x v="0"/>
    <x v="1"/>
    <s v="-"/>
    <s v="No"/>
    <x v="1"/>
    <n v="0"/>
    <n v="5"/>
  </r>
  <r>
    <n v="3487"/>
    <s v="Sandro Almeida"/>
    <x v="0"/>
    <x v="255"/>
    <x v="1"/>
    <n v="15"/>
    <x v="2"/>
    <x v="0"/>
    <n v="30"/>
    <s v="Yes"/>
    <x v="0"/>
    <n v="7"/>
    <n v="58"/>
  </r>
  <r>
    <n v="3488"/>
    <s v="Tânia Ribeiro"/>
    <x v="2"/>
    <x v="256"/>
    <x v="0"/>
    <n v="10"/>
    <x v="1"/>
    <x v="1"/>
    <s v="-"/>
    <s v="Yes"/>
    <x v="0"/>
    <n v="10"/>
    <n v="20"/>
  </r>
  <r>
    <n v="3489"/>
    <s v="Ugo Dias"/>
    <x v="1"/>
    <x v="257"/>
    <x v="1"/>
    <n v="5"/>
    <x v="2"/>
    <x v="1"/>
    <s v="-"/>
    <s v="No"/>
    <x v="1"/>
    <n v="1"/>
    <n v="4"/>
  </r>
  <r>
    <n v="3490"/>
    <s v="Valéria Lima"/>
    <x v="0"/>
    <x v="258"/>
    <x v="0"/>
    <n v="15"/>
    <x v="0"/>
    <x v="0"/>
    <n v="30"/>
    <s v="Yes"/>
    <x v="0"/>
    <n v="15"/>
    <n v="50"/>
  </r>
  <r>
    <n v="3491"/>
    <s v="William Fernandes"/>
    <x v="2"/>
    <x v="259"/>
    <x v="1"/>
    <n v="10"/>
    <x v="0"/>
    <x v="1"/>
    <s v="-"/>
    <s v="Yes"/>
    <x v="0"/>
    <n v="5"/>
    <n v="25"/>
  </r>
  <r>
    <n v="3492"/>
    <s v="Xuxa Mendes"/>
    <x v="1"/>
    <x v="260"/>
    <x v="0"/>
    <n v="5"/>
    <x v="1"/>
    <x v="1"/>
    <s v="-"/>
    <s v="No"/>
    <x v="1"/>
    <n v="0"/>
    <n v="5"/>
  </r>
  <r>
    <n v="3493"/>
    <s v="Ygor Farias"/>
    <x v="0"/>
    <x v="261"/>
    <x v="1"/>
    <n v="15"/>
    <x v="2"/>
    <x v="0"/>
    <n v="30"/>
    <s v="Yes"/>
    <x v="0"/>
    <n v="20"/>
    <n v="45"/>
  </r>
  <r>
    <n v="3494"/>
    <s v="Zilda Barros"/>
    <x v="2"/>
    <x v="262"/>
    <x v="0"/>
    <n v="10"/>
    <x v="2"/>
    <x v="1"/>
    <s v="-"/>
    <s v="Yes"/>
    <x v="0"/>
    <n v="12"/>
    <n v="18"/>
  </r>
  <r>
    <n v="3495"/>
    <s v="Amanda Santos"/>
    <x v="1"/>
    <x v="263"/>
    <x v="1"/>
    <n v="5"/>
    <x v="0"/>
    <x v="1"/>
    <s v="-"/>
    <s v="No"/>
    <x v="1"/>
    <n v="2"/>
    <n v="3"/>
  </r>
  <r>
    <n v="3496"/>
    <s v="Bruno Costa"/>
    <x v="0"/>
    <x v="264"/>
    <x v="0"/>
    <n v="15"/>
    <x v="1"/>
    <x v="0"/>
    <n v="30"/>
    <s v="Yes"/>
    <x v="0"/>
    <n v="5"/>
    <n v="60"/>
  </r>
  <r>
    <n v="3497"/>
    <s v="Carla Rodrigues"/>
    <x v="2"/>
    <x v="265"/>
    <x v="1"/>
    <n v="10"/>
    <x v="0"/>
    <x v="1"/>
    <s v="-"/>
    <s v="Yes"/>
    <x v="0"/>
    <n v="10"/>
    <n v="20"/>
  </r>
  <r>
    <n v="3498"/>
    <s v="Diogo Pereira"/>
    <x v="1"/>
    <x v="266"/>
    <x v="0"/>
    <n v="5"/>
    <x v="2"/>
    <x v="1"/>
    <s v="-"/>
    <s v="No"/>
    <x v="1"/>
    <n v="0"/>
    <n v="5"/>
  </r>
  <r>
    <n v="3499"/>
    <s v="Elisa Correia"/>
    <x v="0"/>
    <x v="267"/>
    <x v="1"/>
    <n v="15"/>
    <x v="0"/>
    <x v="0"/>
    <n v="30"/>
    <s v="Yes"/>
    <x v="0"/>
    <n v="3"/>
    <n v="62"/>
  </r>
  <r>
    <n v="3500"/>
    <s v="Fábio Lourenço"/>
    <x v="2"/>
    <x v="268"/>
    <x v="0"/>
    <n v="10"/>
    <x v="1"/>
    <x v="1"/>
    <s v="-"/>
    <s v="Yes"/>
    <x v="0"/>
    <n v="15"/>
    <n v="15"/>
  </r>
  <r>
    <n v="3501"/>
    <s v="Gabriela Neves"/>
    <x v="1"/>
    <x v="269"/>
    <x v="1"/>
    <n v="5"/>
    <x v="0"/>
    <x v="1"/>
    <s v="-"/>
    <s v="No"/>
    <x v="1"/>
    <n v="1"/>
    <n v="4"/>
  </r>
  <r>
    <n v="3502"/>
    <s v="Henrique Gonçalves"/>
    <x v="0"/>
    <x v="270"/>
    <x v="0"/>
    <n v="15"/>
    <x v="2"/>
    <x v="0"/>
    <n v="30"/>
    <s v="Yes"/>
    <x v="0"/>
    <n v="7"/>
    <n v="58"/>
  </r>
  <r>
    <n v="3503"/>
    <s v="Íris Santos"/>
    <x v="2"/>
    <x v="271"/>
    <x v="1"/>
    <n v="10"/>
    <x v="0"/>
    <x v="1"/>
    <s v="-"/>
    <s v="Yes"/>
    <x v="0"/>
    <n v="10"/>
    <n v="20"/>
  </r>
  <r>
    <n v="3504"/>
    <s v="João Marcelo Alves"/>
    <x v="1"/>
    <x v="272"/>
    <x v="0"/>
    <n v="5"/>
    <x v="1"/>
    <x v="1"/>
    <s v="-"/>
    <s v="No"/>
    <x v="1"/>
    <n v="0"/>
    <n v="5"/>
  </r>
  <r>
    <n v="3505"/>
    <s v="Klara Fonseca"/>
    <x v="0"/>
    <x v="273"/>
    <x v="1"/>
    <n v="15"/>
    <x v="0"/>
    <x v="0"/>
    <n v="30"/>
    <s v="Yes"/>
    <x v="0"/>
    <n v="20"/>
    <n v="45"/>
  </r>
  <r>
    <n v="3506"/>
    <s v="Lucas Mendonça"/>
    <x v="2"/>
    <x v="274"/>
    <x v="0"/>
    <n v="10"/>
    <x v="2"/>
    <x v="1"/>
    <s v="-"/>
    <s v="Yes"/>
    <x v="0"/>
    <n v="15"/>
    <n v="15"/>
  </r>
  <r>
    <n v="3507"/>
    <s v="Marcela Torres"/>
    <x v="1"/>
    <x v="275"/>
    <x v="1"/>
    <n v="5"/>
    <x v="0"/>
    <x v="1"/>
    <s v="-"/>
    <s v="No"/>
    <x v="1"/>
    <n v="1"/>
    <n v="4"/>
  </r>
  <r>
    <n v="3508"/>
    <s v="Natália Castro"/>
    <x v="0"/>
    <x v="276"/>
    <x v="0"/>
    <n v="15"/>
    <x v="1"/>
    <x v="0"/>
    <n v="30"/>
    <s v="Yes"/>
    <x v="0"/>
    <n v="3"/>
    <n v="62"/>
  </r>
  <r>
    <n v="3509"/>
    <s v="Oscar Martins"/>
    <x v="2"/>
    <x v="277"/>
    <x v="1"/>
    <n v="10"/>
    <x v="0"/>
    <x v="1"/>
    <s v="-"/>
    <s v="Yes"/>
    <x v="0"/>
    <n v="10"/>
    <n v="20"/>
  </r>
  <r>
    <n v="3510"/>
    <s v="Patrícia Oliveira"/>
    <x v="1"/>
    <x v="278"/>
    <x v="0"/>
    <n v="5"/>
    <x v="2"/>
    <x v="1"/>
    <s v="-"/>
    <s v="No"/>
    <x v="1"/>
    <n v="0"/>
    <n v="5"/>
  </r>
  <r>
    <n v="3511"/>
    <s v="Quentin Nogueira"/>
    <x v="0"/>
    <x v="279"/>
    <x v="1"/>
    <n v="15"/>
    <x v="0"/>
    <x v="0"/>
    <n v="30"/>
    <s v="Yes"/>
    <x v="0"/>
    <n v="15"/>
    <n v="50"/>
  </r>
  <r>
    <n v="3512"/>
    <s v="Raquel Silva"/>
    <x v="2"/>
    <x v="280"/>
    <x v="0"/>
    <n v="10"/>
    <x v="1"/>
    <x v="1"/>
    <s v="-"/>
    <s v="Yes"/>
    <x v="0"/>
    <n v="15"/>
    <n v="15"/>
  </r>
  <r>
    <n v="3513"/>
    <s v="Sandro Gomes"/>
    <x v="1"/>
    <x v="281"/>
    <x v="1"/>
    <n v="5"/>
    <x v="0"/>
    <x v="1"/>
    <s v="-"/>
    <s v="No"/>
    <x v="1"/>
    <n v="1"/>
    <n v="4"/>
  </r>
  <r>
    <n v="3514"/>
    <s v="Tânia Machado"/>
    <x v="0"/>
    <x v="282"/>
    <x v="0"/>
    <n v="15"/>
    <x v="2"/>
    <x v="0"/>
    <n v="30"/>
    <s v="Yes"/>
    <x v="0"/>
    <n v="7"/>
    <n v="58"/>
  </r>
  <r>
    <n v="3515"/>
    <s v="Ursula Silva"/>
    <x v="2"/>
    <x v="283"/>
    <x v="1"/>
    <n v="10"/>
    <x v="0"/>
    <x v="1"/>
    <s v="-"/>
    <s v="Yes"/>
    <x v="0"/>
    <n v="10"/>
    <n v="20"/>
  </r>
  <r>
    <n v="3516"/>
    <s v="Vanessa Moraes"/>
    <x v="1"/>
    <x v="284"/>
    <x v="0"/>
    <n v="5"/>
    <x v="1"/>
    <x v="1"/>
    <s v="-"/>
    <s v="No"/>
    <x v="1"/>
    <n v="0"/>
    <n v="5"/>
  </r>
  <r>
    <n v="3517"/>
    <s v="William Carvalho"/>
    <x v="0"/>
    <x v="285"/>
    <x v="1"/>
    <n v="15"/>
    <x v="0"/>
    <x v="0"/>
    <n v="30"/>
    <s v="Yes"/>
    <x v="0"/>
    <n v="20"/>
    <n v="45"/>
  </r>
  <r>
    <n v="3518"/>
    <s v="Xavier Reis"/>
    <x v="2"/>
    <x v="286"/>
    <x v="0"/>
    <n v="10"/>
    <x v="2"/>
    <x v="1"/>
    <s v="-"/>
    <s v="Yes"/>
    <x v="0"/>
    <n v="12"/>
    <n v="18"/>
  </r>
  <r>
    <n v="3519"/>
    <s v="Yasmin Rocha"/>
    <x v="1"/>
    <x v="287"/>
    <x v="1"/>
    <n v="5"/>
    <x v="0"/>
    <x v="1"/>
    <s v="-"/>
    <s v="No"/>
    <x v="1"/>
    <n v="2"/>
    <n v="3"/>
  </r>
  <r>
    <n v="3520"/>
    <s v="Zacarias Duarte"/>
    <x v="0"/>
    <x v="288"/>
    <x v="0"/>
    <n v="15"/>
    <x v="1"/>
    <x v="0"/>
    <n v="30"/>
    <s v="Yes"/>
    <x v="0"/>
    <n v="5"/>
    <n v="60"/>
  </r>
  <r>
    <n v="3521"/>
    <s v="Amanda Freitas"/>
    <x v="2"/>
    <x v="289"/>
    <x v="1"/>
    <n v="10"/>
    <x v="0"/>
    <x v="1"/>
    <s v="-"/>
    <s v="Yes"/>
    <x v="0"/>
    <n v="10"/>
    <n v="20"/>
  </r>
  <r>
    <n v="3522"/>
    <s v="Bruno Almeida"/>
    <x v="1"/>
    <x v="290"/>
    <x v="0"/>
    <n v="5"/>
    <x v="2"/>
    <x v="1"/>
    <s v="-"/>
    <s v="No"/>
    <x v="1"/>
    <n v="0"/>
    <n v="5"/>
  </r>
  <r>
    <n v="3523"/>
    <s v="Carla Siqueira"/>
    <x v="0"/>
    <x v="291"/>
    <x v="1"/>
    <n v="15"/>
    <x v="0"/>
    <x v="0"/>
    <n v="30"/>
    <s v="Yes"/>
    <x v="0"/>
    <n v="3"/>
    <n v="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CE641-061A-4DAD-95C8-E7D2C68A4480}" name="Tabela subscriptions per month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5">
  <location ref="C54:G68" firstHeaderRow="1" firstDataRow="2" firstDataCol="1" rowPageCount="1" colPageCount="1"/>
  <pivotFields count="15">
    <pivotField showAll="0"/>
    <pivotField showAll="0"/>
    <pivotField axis="axisCol" dataField="1" showAll="0">
      <items count="4">
        <item x="1"/>
        <item x="2"/>
        <item x="0"/>
        <item t="default"/>
      </items>
    </pivotField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pageFields count="1">
    <pageField fld="6" item="1" hier="-1"/>
  </pageFields>
  <dataFields count="1">
    <dataField name="Contagem de Plan" fld="2" subtotal="count" baseField="0" baseItem="0"/>
  </dataFields>
  <chartFormats count="5"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0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0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0" format="8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1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94749-4305-4544-9CF7-DE6DC10A6D0E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C12:D15" firstHeaderRow="1" firstDataRow="1" firstDataCol="1" rowPageCount="1" colPageCount="1"/>
  <pivotFields count="15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/>
    <pivotField numFmtId="44" showAll="0">
      <items count="3">
        <item x="1"/>
        <item x="0"/>
        <item t="default"/>
      </items>
    </pivotField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Soma de Total Value" fld="12" baseField="0" baseItem="0" numFmtId="44"/>
  </dataField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8170DE-03D9-4D71-AD1A-4001D9359CD8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C43:D47" firstHeaderRow="1" firstDataRow="1" firstDataCol="1" rowPageCount="1" colPageCount="1"/>
  <pivotFields count="15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Contagem de Subscriber 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79245-F6D0-4EFC-A6EE-D270242D7057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C33:D37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F2176-FA59-4380-A72E-8641DABFE94A}" name="Tabela EA Season Pass 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C23:D27" firstHeaderRow="1" firstDataRow="1" firstDataCol="1" rowPageCount="1" colPageCount="1"/>
  <pivotFields count="15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3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FC9064E-1EE7-44CD-944B-E03F23E9EF75}" sourceName="Subscription Type">
  <pivotTables>
    <pivotTable tabId="3" name="Tabela dinâmica2"/>
    <pivotTable tabId="3" name="Tabela EA Season Pass Total"/>
    <pivotTable tabId="3" name="Tabela dinâmica11"/>
    <pivotTable tabId="3" name="Tabela dinâmica12"/>
    <pivotTable tabId="3" name="Tabela subscriptions per month"/>
  </pivotTables>
  <data>
    <tabular pivotCacheId="942581054">
      <items count="3">
        <i x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6D073A1-27F7-4FD3-B163-A77D93F018A3}" cache="SegmentaçãodeDados_Subscription_Type" caption="Subscription Type" style="SlicerStyleLight6 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3">
      <filters>
        <dateGroupItem year="2024" month="3" dateTimeGrouping="month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zoomScaleNormal="100" workbookViewId="0">
      <selection activeCell="A22" sqref="A22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6"/>
  <sheetViews>
    <sheetView zoomScale="90" zoomScaleNormal="90" workbookViewId="0">
      <selection activeCell="C6" sqref="C6:C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25">
        <v>46022.027025462965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hidden="1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hidden="1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hidden="1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hidden="1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hidden="1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hidden="1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hidden="1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hidden="1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hidden="1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hidden="1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hidden="1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hidden="1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hidden="1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hidden="1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hidden="1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hidden="1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hidden="1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hidden="1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theme="3" tint="0.749992370372631"/>
  </sheetPr>
  <dimension ref="A6:G68"/>
  <sheetViews>
    <sheetView showGridLines="0" topLeftCell="A34" workbookViewId="0">
      <selection activeCell="D56" sqref="D56"/>
    </sheetView>
  </sheetViews>
  <sheetFormatPr defaultRowHeight="15" x14ac:dyDescent="0.25"/>
  <cols>
    <col min="2" max="3" width="18.42578125" bestFit="1" customWidth="1"/>
    <col min="4" max="4" width="20.140625" bestFit="1" customWidth="1"/>
    <col min="5" max="5" width="9" bestFit="1" customWidth="1"/>
    <col min="6" max="6" width="8.7109375" bestFit="1" customWidth="1"/>
    <col min="7" max="7" width="10.7109375" bestFit="1" customWidth="1"/>
    <col min="8" max="8" width="9" bestFit="1" customWidth="1"/>
    <col min="9" max="9" width="8.7109375" bestFit="1" customWidth="1"/>
    <col min="10" max="10" width="31.140625" bestFit="1" customWidth="1"/>
    <col min="11" max="11" width="22.57031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6" spans="3:4" x14ac:dyDescent="0.25">
      <c r="C6" t="s">
        <v>316</v>
      </c>
    </row>
    <row r="7" spans="3:4" x14ac:dyDescent="0.25">
      <c r="C7" t="s">
        <v>318</v>
      </c>
    </row>
    <row r="10" spans="3:4" x14ac:dyDescent="0.25">
      <c r="C10" s="12" t="s">
        <v>16</v>
      </c>
      <c r="D10" t="s">
        <v>20</v>
      </c>
    </row>
    <row r="12" spans="3:4" x14ac:dyDescent="0.25">
      <c r="C12" s="12" t="s">
        <v>314</v>
      </c>
      <c r="D12" t="s">
        <v>315</v>
      </c>
    </row>
    <row r="13" spans="3:4" x14ac:dyDescent="0.25">
      <c r="C13" s="14" t="s">
        <v>23</v>
      </c>
      <c r="D13" s="13">
        <v>1146</v>
      </c>
    </row>
    <row r="14" spans="3:4" x14ac:dyDescent="0.25">
      <c r="C14" s="14" t="s">
        <v>19</v>
      </c>
      <c r="D14" s="13">
        <v>2421</v>
      </c>
    </row>
    <row r="15" spans="3:4" x14ac:dyDescent="0.25">
      <c r="C15" s="14" t="s">
        <v>313</v>
      </c>
      <c r="D15" s="13">
        <v>3567</v>
      </c>
    </row>
    <row r="19" spans="1:5" x14ac:dyDescent="0.25">
      <c r="C19" t="s">
        <v>317</v>
      </c>
    </row>
    <row r="21" spans="1:5" x14ac:dyDescent="0.25">
      <c r="C21" s="12" t="s">
        <v>16</v>
      </c>
      <c r="D21" t="s">
        <v>20</v>
      </c>
    </row>
    <row r="22" spans="1:5" x14ac:dyDescent="0.25">
      <c r="A22" s="24">
        <v>46022.023356481484</v>
      </c>
    </row>
    <row r="23" spans="1:5" x14ac:dyDescent="0.25">
      <c r="C23" s="12" t="s">
        <v>314</v>
      </c>
      <c r="D23" t="s">
        <v>319</v>
      </c>
    </row>
    <row r="24" spans="1:5" x14ac:dyDescent="0.25">
      <c r="C24" s="14" t="s">
        <v>22</v>
      </c>
      <c r="D24" s="32">
        <v>0</v>
      </c>
    </row>
    <row r="25" spans="1:5" x14ac:dyDescent="0.25">
      <c r="C25" s="14" t="s">
        <v>26</v>
      </c>
      <c r="D25" s="32">
        <v>0</v>
      </c>
    </row>
    <row r="26" spans="1:5" x14ac:dyDescent="0.25">
      <c r="C26" s="14" t="s">
        <v>18</v>
      </c>
      <c r="D26" s="32">
        <v>1350</v>
      </c>
    </row>
    <row r="27" spans="1:5" x14ac:dyDescent="0.25">
      <c r="C27" s="14" t="s">
        <v>313</v>
      </c>
      <c r="D27" s="32">
        <v>1350</v>
      </c>
      <c r="E27" s="15">
        <f>GETPIVOTDATA("EA Play Season Pass
Price",$C$23)</f>
        <v>1350</v>
      </c>
    </row>
    <row r="29" spans="1:5" x14ac:dyDescent="0.25">
      <c r="C29" t="s">
        <v>322</v>
      </c>
    </row>
    <row r="31" spans="1:5" x14ac:dyDescent="0.25">
      <c r="C31" s="12" t="s">
        <v>16</v>
      </c>
      <c r="D31" t="s">
        <v>20</v>
      </c>
    </row>
    <row r="33" spans="1:5" x14ac:dyDescent="0.25">
      <c r="C33" s="12" t="s">
        <v>314</v>
      </c>
      <c r="D33" t="s">
        <v>320</v>
      </c>
    </row>
    <row r="34" spans="1:5" x14ac:dyDescent="0.25">
      <c r="C34" s="14" t="s">
        <v>22</v>
      </c>
      <c r="D34" s="13">
        <v>0</v>
      </c>
    </row>
    <row r="35" spans="1:5" x14ac:dyDescent="0.25">
      <c r="C35" s="14" t="s">
        <v>26</v>
      </c>
      <c r="D35" s="13">
        <v>900</v>
      </c>
    </row>
    <row r="36" spans="1:5" x14ac:dyDescent="0.25">
      <c r="C36" s="14" t="s">
        <v>18</v>
      </c>
      <c r="D36" s="13">
        <v>900</v>
      </c>
    </row>
    <row r="37" spans="1:5" x14ac:dyDescent="0.25">
      <c r="C37" s="14" t="s">
        <v>313</v>
      </c>
      <c r="D37" s="13">
        <v>1800</v>
      </c>
      <c r="E37" s="15">
        <f>GETPIVOTDATA("Minecraft Season Pass Price",$C$33)</f>
        <v>1800</v>
      </c>
    </row>
    <row r="38" spans="1:5" x14ac:dyDescent="0.25">
      <c r="C38" s="14"/>
      <c r="D38" s="13"/>
      <c r="E38" s="15"/>
    </row>
    <row r="39" spans="1:5" x14ac:dyDescent="0.25">
      <c r="C39" t="s">
        <v>336</v>
      </c>
    </row>
    <row r="41" spans="1:5" x14ac:dyDescent="0.25">
      <c r="C41" s="12" t="s">
        <v>16</v>
      </c>
      <c r="D41" t="s">
        <v>20</v>
      </c>
    </row>
    <row r="43" spans="1:5" x14ac:dyDescent="0.25">
      <c r="C43" s="12" t="s">
        <v>314</v>
      </c>
      <c r="D43" t="s">
        <v>323</v>
      </c>
    </row>
    <row r="44" spans="1:5" x14ac:dyDescent="0.25">
      <c r="C44" s="14" t="s">
        <v>22</v>
      </c>
      <c r="D44" s="32">
        <v>48</v>
      </c>
    </row>
    <row r="45" spans="1:5" x14ac:dyDescent="0.25">
      <c r="A45" s="24">
        <v>46022.027048611111</v>
      </c>
      <c r="C45" s="14" t="s">
        <v>26</v>
      </c>
      <c r="D45" s="32">
        <v>45</v>
      </c>
    </row>
    <row r="46" spans="1:5" x14ac:dyDescent="0.25">
      <c r="C46" s="14" t="s">
        <v>18</v>
      </c>
      <c r="D46" s="32">
        <v>45</v>
      </c>
    </row>
    <row r="47" spans="1:5" x14ac:dyDescent="0.25">
      <c r="C47" s="14" t="s">
        <v>313</v>
      </c>
      <c r="D47" s="32">
        <v>138</v>
      </c>
      <c r="E47">
        <f>GETPIVOTDATA("Subscriber ID",$C$43)</f>
        <v>138</v>
      </c>
    </row>
    <row r="50" spans="3:7" x14ac:dyDescent="0.25">
      <c r="C50" t="s">
        <v>337</v>
      </c>
    </row>
    <row r="52" spans="3:7" x14ac:dyDescent="0.25">
      <c r="C52" s="12" t="s">
        <v>16</v>
      </c>
      <c r="D52" t="s">
        <v>20</v>
      </c>
    </row>
    <row r="54" spans="3:7" x14ac:dyDescent="0.25">
      <c r="C54" s="12" t="s">
        <v>338</v>
      </c>
      <c r="D54" s="12" t="s">
        <v>339</v>
      </c>
    </row>
    <row r="55" spans="3:7" x14ac:dyDescent="0.25">
      <c r="C55" s="12" t="s">
        <v>314</v>
      </c>
      <c r="D55" t="s">
        <v>22</v>
      </c>
      <c r="E55" t="s">
        <v>26</v>
      </c>
      <c r="F55" t="s">
        <v>18</v>
      </c>
      <c r="G55" t="s">
        <v>313</v>
      </c>
    </row>
    <row r="56" spans="3:7" x14ac:dyDescent="0.25">
      <c r="C56" s="14" t="s">
        <v>324</v>
      </c>
      <c r="D56" s="32"/>
      <c r="E56" s="32"/>
      <c r="F56" s="32">
        <v>1</v>
      </c>
      <c r="G56" s="32">
        <v>1</v>
      </c>
    </row>
    <row r="57" spans="3:7" x14ac:dyDescent="0.25">
      <c r="C57" s="14" t="s">
        <v>335</v>
      </c>
      <c r="D57" s="32"/>
      <c r="E57" s="32"/>
      <c r="F57" s="32">
        <v>1</v>
      </c>
      <c r="G57" s="32">
        <v>1</v>
      </c>
    </row>
    <row r="58" spans="3:7" x14ac:dyDescent="0.25">
      <c r="C58" s="14" t="s">
        <v>325</v>
      </c>
      <c r="D58" s="32">
        <v>6</v>
      </c>
      <c r="E58" s="32">
        <v>5</v>
      </c>
      <c r="F58" s="32">
        <v>5</v>
      </c>
      <c r="G58" s="32">
        <v>16</v>
      </c>
    </row>
    <row r="59" spans="3:7" x14ac:dyDescent="0.25">
      <c r="C59" s="14" t="s">
        <v>326</v>
      </c>
      <c r="D59" s="32">
        <v>5</v>
      </c>
      <c r="E59" s="32">
        <v>5</v>
      </c>
      <c r="F59" s="32">
        <v>4</v>
      </c>
      <c r="G59" s="32">
        <v>14</v>
      </c>
    </row>
    <row r="60" spans="3:7" x14ac:dyDescent="0.25">
      <c r="C60" s="14" t="s">
        <v>327</v>
      </c>
      <c r="D60" s="32">
        <v>5</v>
      </c>
      <c r="E60" s="32">
        <v>4</v>
      </c>
      <c r="F60" s="32">
        <v>4</v>
      </c>
      <c r="G60" s="32">
        <v>13</v>
      </c>
    </row>
    <row r="61" spans="3:7" x14ac:dyDescent="0.25">
      <c r="C61" s="14" t="s">
        <v>328</v>
      </c>
      <c r="D61" s="32">
        <v>4</v>
      </c>
      <c r="E61" s="32">
        <v>4</v>
      </c>
      <c r="F61" s="32">
        <v>5</v>
      </c>
      <c r="G61" s="32">
        <v>13</v>
      </c>
    </row>
    <row r="62" spans="3:7" x14ac:dyDescent="0.25">
      <c r="C62" s="14" t="s">
        <v>329</v>
      </c>
      <c r="D62" s="32">
        <v>6</v>
      </c>
      <c r="E62" s="32">
        <v>5</v>
      </c>
      <c r="F62" s="32">
        <v>4</v>
      </c>
      <c r="G62" s="32">
        <v>15</v>
      </c>
    </row>
    <row r="63" spans="3:7" x14ac:dyDescent="0.25">
      <c r="C63" s="14" t="s">
        <v>330</v>
      </c>
      <c r="D63" s="32">
        <v>5</v>
      </c>
      <c r="E63" s="32">
        <v>5</v>
      </c>
      <c r="F63" s="32">
        <v>4</v>
      </c>
      <c r="G63" s="32">
        <v>14</v>
      </c>
    </row>
    <row r="64" spans="3:7" x14ac:dyDescent="0.25">
      <c r="C64" s="14" t="s">
        <v>331</v>
      </c>
      <c r="D64" s="32">
        <v>5</v>
      </c>
      <c r="E64" s="32">
        <v>5</v>
      </c>
      <c r="F64" s="32">
        <v>4</v>
      </c>
      <c r="G64" s="32">
        <v>14</v>
      </c>
    </row>
    <row r="65" spans="3:7" x14ac:dyDescent="0.25">
      <c r="C65" s="14" t="s">
        <v>332</v>
      </c>
      <c r="D65" s="32">
        <v>5</v>
      </c>
      <c r="E65" s="32">
        <v>5</v>
      </c>
      <c r="F65" s="32">
        <v>6</v>
      </c>
      <c r="G65" s="32">
        <v>16</v>
      </c>
    </row>
    <row r="66" spans="3:7" x14ac:dyDescent="0.25">
      <c r="C66" s="14" t="s">
        <v>333</v>
      </c>
      <c r="D66" s="32">
        <v>5</v>
      </c>
      <c r="E66" s="32">
        <v>5</v>
      </c>
      <c r="F66" s="32">
        <v>4</v>
      </c>
      <c r="G66" s="32">
        <v>14</v>
      </c>
    </row>
    <row r="67" spans="3:7" x14ac:dyDescent="0.25">
      <c r="C67" s="14" t="s">
        <v>334</v>
      </c>
      <c r="D67" s="32">
        <v>2</v>
      </c>
      <c r="E67" s="32">
        <v>2</v>
      </c>
      <c r="F67" s="32">
        <v>3</v>
      </c>
      <c r="G67" s="32">
        <v>7</v>
      </c>
    </row>
    <row r="68" spans="3:7" x14ac:dyDescent="0.25">
      <c r="C68" s="14" t="s">
        <v>313</v>
      </c>
      <c r="D68" s="32">
        <v>48</v>
      </c>
      <c r="E68" s="32">
        <v>45</v>
      </c>
      <c r="F68" s="32">
        <v>45</v>
      </c>
      <c r="G68" s="32">
        <v>138</v>
      </c>
    </row>
  </sheetData>
  <pageMargins left="0.511811024" right="0.511811024" top="0.78740157499999996" bottom="0.78740157499999996" header="0.31496062000000002" footer="0.31496062000000002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4"/>
  <dimension ref="A1:U45"/>
  <sheetViews>
    <sheetView showGridLines="0" tabSelected="1" topLeftCell="B7" zoomScale="80" zoomScaleNormal="80" workbookViewId="0">
      <selection activeCell="C25" sqref="C25"/>
    </sheetView>
  </sheetViews>
  <sheetFormatPr defaultRowHeight="15" x14ac:dyDescent="0.25"/>
  <cols>
    <col min="1" max="1" width="20" style="21" customWidth="1"/>
    <col min="2" max="2" width="3.5703125" style="4" customWidth="1"/>
    <col min="3" max="3" width="11.5703125" style="22" customWidth="1"/>
    <col min="4" max="4" width="12.28515625" style="7" customWidth="1"/>
    <col min="5" max="5" width="34.5703125" style="7" bestFit="1" customWidth="1"/>
    <col min="6" max="7" width="9.140625" style="7"/>
    <col min="8" max="8" width="13.5703125" style="7" customWidth="1"/>
    <col min="9" max="9" width="1" style="7" customWidth="1"/>
    <col min="10" max="10" width="31" style="7" customWidth="1"/>
    <col min="11" max="13" width="8.140625" style="7" customWidth="1"/>
    <col min="14" max="14" width="29.5703125" style="7" customWidth="1"/>
    <col min="15" max="15" width="23.28515625" style="7" customWidth="1"/>
    <col min="16" max="16" width="6.5703125" style="7" customWidth="1"/>
    <col min="17" max="20" width="9.140625" style="7"/>
    <col min="21" max="21" width="16" style="7" customWidth="1"/>
    <col min="22" max="16384" width="9.140625" style="7"/>
  </cols>
  <sheetData>
    <row r="1" spans="1:21" customFormat="1" ht="18.75" customHeight="1" x14ac:dyDescent="0.25">
      <c r="A1" s="18"/>
      <c r="B1" s="19"/>
      <c r="C1" s="20"/>
    </row>
    <row r="2" spans="1:21" customFormat="1" ht="34.5" customHeight="1" thickBot="1" x14ac:dyDescent="0.35">
      <c r="A2" s="21"/>
      <c r="B2" s="4"/>
      <c r="C2" s="22"/>
      <c r="E2" s="17" t="s">
        <v>321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1:21" customFormat="1" ht="15.75" thickTop="1" x14ac:dyDescent="0.25">
      <c r="A3" s="21"/>
      <c r="B3" s="4"/>
      <c r="C3" s="22"/>
    </row>
    <row r="4" spans="1:21" customFormat="1" ht="12" customHeight="1" x14ac:dyDescent="0.25">
      <c r="A4" s="21"/>
      <c r="B4" s="4"/>
      <c r="C4" s="22"/>
    </row>
    <row r="5" spans="1:21" customFormat="1" ht="8.25" customHeight="1" x14ac:dyDescent="0.25">
      <c r="A5" s="21"/>
      <c r="B5" s="4"/>
      <c r="C5" s="22"/>
    </row>
    <row r="21" spans="1:1" ht="23.25" customHeight="1" x14ac:dyDescent="0.25"/>
    <row r="22" spans="1:1" x14ac:dyDescent="0.25">
      <c r="A22" s="23"/>
    </row>
    <row r="44" spans="1:3" ht="17.25" x14ac:dyDescent="0.3">
      <c r="A44" s="29">
        <f ca="1">NOW()</f>
        <v>46022.056565740742</v>
      </c>
      <c r="B44" s="30"/>
      <c r="C44" s="31"/>
    </row>
    <row r="45" spans="1:3" ht="20.25" x14ac:dyDescent="0.35">
      <c r="A45" s="26"/>
      <c r="B45" s="27"/>
      <c r="C45" s="28"/>
    </row>
  </sheetData>
  <mergeCells count="2">
    <mergeCell ref="A45:C45"/>
    <mergeCell ref="A44:C44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Paulo de Tarso</cp:lastModifiedBy>
  <dcterms:created xsi:type="dcterms:W3CDTF">2024-12-19T13:13:10Z</dcterms:created>
  <dcterms:modified xsi:type="dcterms:W3CDTF">2025-12-31T04:21:42Z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